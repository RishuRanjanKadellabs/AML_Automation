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state="visible" r:id="rId4"/>
    <sheet sheetId="2" name="Automation Runs" state="visible" r:id="rId5"/>
    <sheet sheetId="3" name="Test Case Results" state="visible" r:id="rId6"/>
    <sheet sheetId="4" name="Defect Comparison" state="visible" r:id="rId7"/>
    <sheet sheetId="5" name="Manual Defect Register" state="visible" r:id="rId8"/>
    <sheet sheetId="6" name="Legend" state="visible" r:id="rId9"/>
  </sheets>
  <calcPr calcId="171027"/>
</workbook>
</file>

<file path=xl/comments5.xml><?xml version="1.0" encoding="utf-8"?>
<comments xmlns="http://schemas.openxmlformats.org/spreadsheetml/2006/main">
  <authors>
    <author>Author</author>
  </authors>
  <commentList>
    <comment ref="A3" authorId="0">
      <text>
        <r>
          <rPr>
            <color theme="1"/>
            <family val="2"/>
            <scheme val="minor"/>
            <sz val="10"/>
            <rFont val="Calibri"/>
          </rPr>
          <t xml:space="preserve">Delete the example row. Add one row per manual defect.
Missed By Automation = Yes when automation passed, did not run, or had no TC.
Dashboard KPIs use formulas on this sheet.</t>
        </r>
      </text>
    </comment>
  </commentList>
</comments>
</file>

<file path=xl/sharedStrings.xml><?xml version="1.0" encoding="utf-8"?>
<sst xmlns="http://schemas.openxmlformats.org/spreadsheetml/2006/main" count="2205" uniqueCount="442">
  <si>
    <t>AML QA Automation — Performance Dashboard</t>
  </si>
  <si>
    <t>Generated: 3/8/2026, 14:20:12  |  Data source: latest execution + defect workbooks</t>
  </si>
  <si>
    <t>Automation execution (latest run)</t>
  </si>
  <si>
    <t>Module</t>
  </si>
  <si>
    <t>Customer Risk Rating Configuration</t>
  </si>
  <si>
    <t>Environment</t>
  </si>
  <si>
    <t>qa</t>
  </si>
  <si>
    <t>Milestone</t>
  </si>
  <si>
    <t>M2</t>
  </si>
  <si>
    <t>Run date</t>
  </si>
  <si>
    <t>30/7/2026, 16:57:37</t>
  </si>
  <si>
    <t>Total executed</t>
  </si>
  <si>
    <t>Passed</t>
  </si>
  <si>
    <t>Failed</t>
  </si>
  <si>
    <t>Skipped</t>
  </si>
  <si>
    <t>Pass rate %</t>
  </si>
  <si>
    <t>46.3%</t>
  </si>
  <si>
    <t>Duration</t>
  </si>
  <si>
    <t>23m 56s</t>
  </si>
  <si>
    <t>Automated TCs in spec</t>
  </si>
  <si>
    <t>Defects — automation vs manual</t>
  </si>
  <si>
    <t>Defects from automation (failed runs)</t>
  </si>
  <si>
    <t>Defects from manual testing</t>
  </si>
  <si>
    <t>Missed by automation (manual found, auto did not catch)</t>
  </si>
  <si>
    <t>False negatives (manual defect + automation passed)</t>
  </si>
  <si>
    <t>Automation escape rate %</t>
  </si>
  <si>
    <t>How to use</t>
  </si>
  <si>
    <t>1. Automation metrics refresh when you run: npm run docs:qa-dashboard</t>
  </si>
  <si>
    <t>2. Log manual defects on sheet 'Manual Defect Register' — Dashboard formulas update automatically</t>
  </si>
  <si>
    <t>3. 'Missed by automation' = manual defect where automation passed, did not run, or had no coverage</t>
  </si>
  <si>
    <t>4. Automation defects are loaded from pipeline/test-data/MilestoneN/Defects/*-defects.xlsx</t>
  </si>
  <si>
    <t>Run Date</t>
  </si>
  <si>
    <t>Base URL</t>
  </si>
  <si>
    <t>Spec Path</t>
  </si>
  <si>
    <t>Total</t>
  </si>
  <si>
    <t>Pass Rate %</t>
  </si>
  <si>
    <t>Duration (min)</t>
  </si>
  <si>
    <t>https://kadelamlqa.customerxps.com:2502</t>
  </si>
  <si>
    <t>tests/milestone2/test-cases/ConfigurationModule/customerRiskRatingConfigurationTests/customer-risk-rating-configuration.spec.ts</t>
  </si>
  <si>
    <t>Test Case ID</t>
  </si>
  <si>
    <t>Feature / Suite</t>
  </si>
  <si>
    <t>Status</t>
  </si>
  <si>
    <t>In Spec</t>
  </si>
  <si>
    <t>Failure Reason (first line)</t>
  </si>
  <si>
    <t>CRR-TC-001</t>
  </si>
  <si>
    <t>Customer Risk Rating Configuration Tests</t>
  </si>
  <si>
    <t>1s</t>
  </si>
  <si>
    <t>Yes</t>
  </si>
  <si>
    <t>Error: page.originalGoto: net::ERR_ABORTED at https://kadelamlqa.customerxps.com:2502/configuration/customer-risk-categorisation</t>
  </si>
  <si>
    <t>CRR-TC-002</t>
  </si>
  <si>
    <t>12s</t>
  </si>
  <si>
    <t/>
  </si>
  <si>
    <t>CRR-TC-003</t>
  </si>
  <si>
    <t>9s</t>
  </si>
  <si>
    <t>CRR-TC-004</t>
  </si>
  <si>
    <t>Error: page.originalGoto: Navigation to "https://kadelamlqa.customerxps.com:2502/configuration/customer-risk-categorisation" is interrupted by another navigation to "https://kadelamlqa.customerxps.com:2502/configuration/customer-risk-categorisation"</t>
  </si>
  <si>
    <t>CRR-TC-005</t>
  </si>
  <si>
    <t>30s</t>
  </si>
  <si>
    <t>CRR-TC-006</t>
  </si>
  <si>
    <t>CRR-TC-007</t>
  </si>
  <si>
    <t>16s</t>
  </si>
  <si>
    <t>CRR-TC-008</t>
  </si>
  <si>
    <t>7s</t>
  </si>
  <si>
    <t>CRR-TC-009</t>
  </si>
  <si>
    <t>CRR-TC-010</t>
  </si>
  <si>
    <t>41s</t>
  </si>
  <si>
    <t>Error: [2mexpect([22m[31mlocator[39m[2m).[22mtoHaveValue[2m([22m[32mexpected[39m[2m)[22m failed</t>
  </si>
  <si>
    <t>CRR-TC-011</t>
  </si>
  <si>
    <t>CRR-TC-012</t>
  </si>
  <si>
    <t>24s</t>
  </si>
  <si>
    <t>CRR-TC-013</t>
  </si>
  <si>
    <t>CRR-TC-014</t>
  </si>
  <si>
    <t>Error: [2mexpect([22m[31mlocator[39m[2m).[22mtoBeVisible[2m([22m[2m)[22m failed</t>
  </si>
  <si>
    <t>CRR-TC-015</t>
  </si>
  <si>
    <t>29s</t>
  </si>
  <si>
    <t>CRR-TC-016</t>
  </si>
  <si>
    <t>14s</t>
  </si>
  <si>
    <t>CRR-TC-017</t>
  </si>
  <si>
    <t>28s</t>
  </si>
  <si>
    <t>Error: [2mexpect([22m[31mlocator[39m[2m).[22mtoContainText[2m([22m[32mexpected[39m[2m)[22m failed</t>
  </si>
  <si>
    <t>CRR-TC-018</t>
  </si>
  <si>
    <t>3s</t>
  </si>
  <si>
    <t>CRR-TC-019</t>
  </si>
  <si>
    <t>35s</t>
  </si>
  <si>
    <t>Error: [2mexpect([22m[31mlocator[39m[2m).[22mtoHaveClass[2m([22m[32mexpected[39m[2m)[22m failed</t>
  </si>
  <si>
    <t>CRR-TC-020</t>
  </si>
  <si>
    <t>31s</t>
  </si>
  <si>
    <t>CRR-TC-021</t>
  </si>
  <si>
    <t>5s</t>
  </si>
  <si>
    <t>CRR-TC-022</t>
  </si>
  <si>
    <t>CRR-TC-023</t>
  </si>
  <si>
    <t>CRR-TC-024</t>
  </si>
  <si>
    <t>CRR-TC-025</t>
  </si>
  <si>
    <t>4s</t>
  </si>
  <si>
    <t>CRR-TC-026</t>
  </si>
  <si>
    <t>CRR-TC-027</t>
  </si>
  <si>
    <t>11s</t>
  </si>
  <si>
    <t>CRR-TC-028</t>
  </si>
  <si>
    <t>20s</t>
  </si>
  <si>
    <t>CRR-TC-029</t>
  </si>
  <si>
    <t>8s</t>
  </si>
  <si>
    <t>CRR-TC-030</t>
  </si>
  <si>
    <t>6s</t>
  </si>
  <si>
    <t>CRR-TC-031</t>
  </si>
  <si>
    <t>CRR-TC-032</t>
  </si>
  <si>
    <t>CRR-TC-033</t>
  </si>
  <si>
    <t>0s</t>
  </si>
  <si>
    <t>CRR-TC-034</t>
  </si>
  <si>
    <t>15s</t>
  </si>
  <si>
    <t>CRR-TC-035</t>
  </si>
  <si>
    <t>CRR-TC-036</t>
  </si>
  <si>
    <t>Error: [2mexpect([22m[31mlocator[39m[2m).[22mtoHaveText[2m([22m[32mexpected[39m[2m)[22m failed</t>
  </si>
  <si>
    <t>CRR-TC-037</t>
  </si>
  <si>
    <t>CRR-TC-038</t>
  </si>
  <si>
    <t>13s</t>
  </si>
  <si>
    <t>CRR-TC-039</t>
  </si>
  <si>
    <t>CRR-TC-040</t>
  </si>
  <si>
    <t>CRR-TC-041</t>
  </si>
  <si>
    <t>CRR-TC-042</t>
  </si>
  <si>
    <t>10s</t>
  </si>
  <si>
    <t>CRR-TC-043</t>
  </si>
  <si>
    <t>26s</t>
  </si>
  <si>
    <t>Error: [2mexpect([22m[31mlocator[39m[2m).[22mtoBeChecked[2m([22m[32m{ checked: false }[39m[2m)[22m failed</t>
  </si>
  <si>
    <t>CRR-TC-044</t>
  </si>
  <si>
    <t>CRR-TC-045</t>
  </si>
  <si>
    <t>CRR-TC-046</t>
  </si>
  <si>
    <t>CRR-TC-047</t>
  </si>
  <si>
    <t>CRR-TC-048</t>
  </si>
  <si>
    <t>CRR-TC-049</t>
  </si>
  <si>
    <t>CRR-TC-050</t>
  </si>
  <si>
    <t>CRR-TC-051</t>
  </si>
  <si>
    <t>CRR-TC-052</t>
  </si>
  <si>
    <t>CRR-TC-053</t>
  </si>
  <si>
    <t>CRR-TC-054</t>
  </si>
  <si>
    <t>CRR-TC-055</t>
  </si>
  <si>
    <t>CRR-TC-056</t>
  </si>
  <si>
    <t>CRR-TC-057</t>
  </si>
  <si>
    <t>36s</t>
  </si>
  <si>
    <t>CRR-TC-058</t>
  </si>
  <si>
    <t>43s</t>
  </si>
  <si>
    <t>CRR-TC-059</t>
  </si>
  <si>
    <t>CRR-TC-060</t>
  </si>
  <si>
    <t>CRR-TC-061</t>
  </si>
  <si>
    <t>Error: locator.evaluate: Execution context was destroyed, most likely because of a navigation</t>
  </si>
  <si>
    <t>CRR-TC-062</t>
  </si>
  <si>
    <t>CRR-TC-063</t>
  </si>
  <si>
    <t>CRR-TC-064</t>
  </si>
  <si>
    <t>CRR-TC-065</t>
  </si>
  <si>
    <t>CRR-TC-066</t>
  </si>
  <si>
    <t>CRR-TC-067</t>
  </si>
  <si>
    <t>2s</t>
  </si>
  <si>
    <t>CRR-TC-068</t>
  </si>
  <si>
    <t>CRR-TC-069</t>
  </si>
  <si>
    <t>CRR-TC-070</t>
  </si>
  <si>
    <t>23s</t>
  </si>
  <si>
    <t>CRR-TC-071</t>
  </si>
  <si>
    <t>CRR-TC-072</t>
  </si>
  <si>
    <t>25s</t>
  </si>
  <si>
    <t>CRR-TC-073</t>
  </si>
  <si>
    <t>27s</t>
  </si>
  <si>
    <t>CRR-TC-074</t>
  </si>
  <si>
    <t>CRR-TC-075</t>
  </si>
  <si>
    <t>CRR-TC-076</t>
  </si>
  <si>
    <t>CRR-TC-077</t>
  </si>
  <si>
    <t>CRR-TC-078</t>
  </si>
  <si>
    <t>CRR-TC-079</t>
  </si>
  <si>
    <t>Error: [2mexpect([22m[31mreceived[39m[2m).[22mtoBe[2m([22m[32mexpected[39m[2m) // Object.is equality[22m</t>
  </si>
  <si>
    <t>CRR-TC-080</t>
  </si>
  <si>
    <t>CRR-TC-081</t>
  </si>
  <si>
    <t>CRR-TC-082</t>
  </si>
  <si>
    <t>CRR-TC-083</t>
  </si>
  <si>
    <t>CRR-TC-084</t>
  </si>
  <si>
    <t>CRR-TC-085</t>
  </si>
  <si>
    <t>CRR-TC-086</t>
  </si>
  <si>
    <t>CRR-TC-087</t>
  </si>
  <si>
    <t>CRR-TC-088</t>
  </si>
  <si>
    <t>CRR-TC-089</t>
  </si>
  <si>
    <t>Error: locator.evaluate: Execution context was destroyed, most likely because of a navigation.</t>
  </si>
  <si>
    <t>CRR-TC-090</t>
  </si>
  <si>
    <t>CRR-TC-091</t>
  </si>
  <si>
    <t>CRR-TC-092</t>
  </si>
  <si>
    <t>CRR-TC-093</t>
  </si>
  <si>
    <t>CRR-TC-094</t>
  </si>
  <si>
    <t>Error: [2mexpect([22m[31mreceived[39m[2m).[22mtoBeTruthy[2m()[22m</t>
  </si>
  <si>
    <t>CRR-TC-095</t>
  </si>
  <si>
    <t>CRR-TC-096</t>
  </si>
  <si>
    <t>CRR-TC-097</t>
  </si>
  <si>
    <t>Error: CRR_TEST_CUSTOMER_ID must be set in .env for customer-scoped assessment cases</t>
  </si>
  <si>
    <t>CRR-TC-098</t>
  </si>
  <si>
    <t>CRR-TC-099</t>
  </si>
  <si>
    <t>CRR-TC-100</t>
  </si>
  <si>
    <t>CRR-TC-101</t>
  </si>
  <si>
    <t>CRR-TC-102</t>
  </si>
  <si>
    <t>CRR-TC-103</t>
  </si>
  <si>
    <t>CRR-TC-104</t>
  </si>
  <si>
    <t>CRR-TC-105</t>
  </si>
  <si>
    <t>CRR-TC-106</t>
  </si>
  <si>
    <t>CRR-TC-107</t>
  </si>
  <si>
    <t>CRR-TC-108</t>
  </si>
  <si>
    <t>CRR-TC-109</t>
  </si>
  <si>
    <t>CRR-TC-110</t>
  </si>
  <si>
    <t>CRR-TC-111</t>
  </si>
  <si>
    <t>CRR-TC-112</t>
  </si>
  <si>
    <t>CRR-TC-113</t>
  </si>
  <si>
    <t>CRR-TC-114</t>
  </si>
  <si>
    <t>CRR-TC-115</t>
  </si>
  <si>
    <t>Error: [2mexpect([22m[31mlocator[39m[2m).[22mtoBeDisabled[2m([22m[2m)[22m failed</t>
  </si>
  <si>
    <t>CRR-TC-116</t>
  </si>
  <si>
    <t>CRR-TC-117</t>
  </si>
  <si>
    <t>CRR-TC-118</t>
  </si>
  <si>
    <t>CRR-TC-119</t>
  </si>
  <si>
    <t>CRR-TC-120</t>
  </si>
  <si>
    <t>49s</t>
  </si>
  <si>
    <t>CRR-TC-121</t>
  </si>
  <si>
    <t>Error: CRR_WORKED_EXAMPLE_CUSTOMER_ID must be set in .env for worked composite calculation case</t>
  </si>
  <si>
    <t>CRR-TC-122</t>
  </si>
  <si>
    <t>CRR-TC-123</t>
  </si>
  <si>
    <t>Defect ID</t>
  </si>
  <si>
    <t>Feature</t>
  </si>
  <si>
    <t>Found By</t>
  </si>
  <si>
    <t>Detection Phase</t>
  </si>
  <si>
    <t>Severity</t>
  </si>
  <si>
    <t>Priority</t>
  </si>
  <si>
    <t>Automation TC Exists</t>
  </si>
  <si>
    <t>Last Automation Result</t>
  </si>
  <si>
    <t>Missed By Automation</t>
  </si>
  <si>
    <t>Miss Reason</t>
  </si>
  <si>
    <t>Summary</t>
  </si>
  <si>
    <t>Source File</t>
  </si>
  <si>
    <t>DEF-M1-SC-TC-006</t>
  </si>
  <si>
    <t>SC-TC-006</t>
  </si>
  <si>
    <t>Screening Configuration</t>
  </si>
  <si>
    <t>Empty State</t>
  </si>
  <si>
    <t>Automation</t>
  </si>
  <si>
    <t>Automation run</t>
  </si>
  <si>
    <t>Medium</t>
  </si>
  <si>
    <t>New</t>
  </si>
  <si>
    <t>dev</t>
  </si>
  <si>
    <t>No</t>
  </si>
  <si>
    <t>Caught by automation</t>
  </si>
  <si>
    <t>On the Screening Configuration page, Empty State does not work: confirm empty-state behaviour when no screening types exist. expect(received).toBeTruthy()</t>
  </si>
  <si>
    <t>pipeline/test-data/Milestone1/Defects/screening-configuration-defects.xlsx</t>
  </si>
  <si>
    <t>DEF-M1-SC-TC-038</t>
  </si>
  <si>
    <t>SC-TC-038</t>
  </si>
  <si>
    <t>Edit Screening Type</t>
  </si>
  <si>
    <t>Critical</t>
  </si>
  <si>
    <t>High</t>
  </si>
  <si>
    <t>On the Screening Configuration page, Edit Screening Type does not work: verify user can navigate to Edit screening type screen. The expected item did not appear on the page within 30 seconds.</t>
  </si>
  <si>
    <t>DEF-M1-SC-TC-161</t>
  </si>
  <si>
    <t>SC-TC-161</t>
  </si>
  <si>
    <t>On the Screening Configuration page, Edit Screening Type does not work: open Edit Configuration wizard from listing. The expected item did not appear on the page within 30 seconds.</t>
  </si>
  <si>
    <t>DEF-M1-SC-TC-163</t>
  </si>
  <si>
    <t>SC-TC-163</t>
  </si>
  <si>
    <t>On the Screening Configuration page, Edit Screening Type does not work: verify screening type Name can be updated successfully. The expected item did not appear on the page within 30 seconds.</t>
  </si>
  <si>
    <t>DEF-M1-SC-TC-164</t>
  </si>
  <si>
    <t>SC-TC-164</t>
  </si>
  <si>
    <t>On the Screening Configuration page, Edit Screening Type does not work: verify Description can be updated successfully. The expected item did not appear on the page within 30 seconds.</t>
  </si>
  <si>
    <t>DEF-M1-SC-TC-171</t>
  </si>
  <si>
    <t>SC-TC-171</t>
  </si>
  <si>
    <t>On the Screening Configuration page, Edit Screening Type does not work: verify unsaved changes warning is displayed. Unsaved changes warning prompted on navigate away</t>
  </si>
  <si>
    <t>DEF-M1-SC-TC-178</t>
  </si>
  <si>
    <t>SC-TC-178</t>
  </si>
  <si>
    <t>Lists Library</t>
  </si>
  <si>
    <t>On the Screening Configuration page, Lists Library does not work: verify search in Lists Library filters by list name and description. The item could not be clicked within 25 seconds because something else on the screen was covering it.</t>
  </si>
  <si>
    <t>DEF-M1-SC-TC-162</t>
  </si>
  <si>
    <t>SC-TC-162</t>
  </si>
  <si>
    <t>On the Screening Configuration page, Edit Screening Type does not work: verify all saved values are pre-populated in Edit mode. The expected item did not appear on the page within 30 seconds.</t>
  </si>
  <si>
    <t>DEF-M1-SC-TC-165</t>
  </si>
  <si>
    <t>SC-TC-165</t>
  </si>
  <si>
    <t>On the Screening Configuration page, Edit Screening Type does not work: verify selected screening types can be modified. The expected item did not appear on the page within 30 seconds.</t>
  </si>
  <si>
    <t>DEF-M1-SC-TC-296</t>
  </si>
  <si>
    <t>SC-TC-296</t>
  </si>
  <si>
    <t>Maker Checker Workflow</t>
  </si>
  <si>
    <t>On the Screening Configuration page, Maker Checker Workflow does not work: maker submits new screening type for checker approval. An item that should be shown on the page was not visible.</t>
  </si>
  <si>
    <t>DEF-M2-CRR-TC-004</t>
  </si>
  <si>
    <t>Periodic Review Schedule</t>
  </si>
  <si>
    <t>On the Customer Risk Rating Configuration screen, while testing Periodic Review Schedule, the user tried to switch from Risk Scoring Configuration to Periodic Review Frequency tab. Page.originalGoto: Navigation to "the application is interrupted by another navigation to "the application.</t>
  </si>
  <si>
    <t>pipeline/test-data/Milestone2/Defects/customer-risk-rating-configuration-defects.xlsx</t>
  </si>
  <si>
    <t>DEF-M2-CRR-TC-006</t>
  </si>
  <si>
    <t>Tab Navigation</t>
  </si>
  <si>
    <t>On the Customer Risk Rating Configuration screen, while testing Tab Navigation, the user tried to cycle all three Framework Configuration tabs in sequence and verify each panel. Page.originalGoto: net::ERR_ABORTED at the application.</t>
  </si>
  <si>
    <t>DEF-M2-CRR-TC-014</t>
  </si>
  <si>
    <t>Category Weights and Parameters</t>
  </si>
  <si>
    <t>On the Customer Risk Rating Configuration screen, while testing Category Weights and Parameters, the user tried to verify stage legend ONB ONG EVT PRD is visible on Category Weights &amp; Parameters tab only. Something that should appear on the screen was missing or hidden.</t>
  </si>
  <si>
    <t>DEF-M2-CRR-TC-057</t>
  </si>
  <si>
    <t>Maker-Checker Approval</t>
  </si>
  <si>
    <t>On the Customer Risk Rating Configuration screen, while testing Maker-Checker Approval, the user tried to save Category Weights &amp; Parameters requires Maker-Checker and does not apply immediately. Something that should appear on the screen was missing or hidden.</t>
  </si>
  <si>
    <t>DEF-M2-CRR-TC-058</t>
  </si>
  <si>
    <t>On the Customer Risk Rating Configuration screen, while testing Maker-Checker Approval, the user tried to checker rejects Category Weights change and prior approved config remains active. Something that should appear on the screen was missing or hidden.</t>
  </si>
  <si>
    <t>DEF-M2-CRR-TC-073</t>
  </si>
  <si>
    <t>Risk Scoring Configuration</t>
  </si>
  <si>
    <t>On the Customer Risk Rating Configuration screen, while testing Risk Scoring Configuration, the user tried to changing Parameter Risk Tier score recalculates dependent parameter Scores on Weights tab. Something that should appear on the screen was missing or hidden.</t>
  </si>
  <si>
    <t>DEF-M2-CRR-TC-074</t>
  </si>
  <si>
    <t>On the Customer Risk Rating Configuration screen, while testing Maker-Checker Approval, the user tried to save Risk Scoring Configuration requires Maker-Checker before assessments use values. Something that should appear on the screen was missing or hidden.</t>
  </si>
  <si>
    <t>DEF-M2-CRR-TC-079</t>
  </si>
  <si>
    <t>On the Customer Risk Rating Configuration screen, while testing Periodic Review Schedule, the user tried to reject or clamp Critical review frequency below minimum (0 months). The result shown on the screen did not match what was expected.</t>
  </si>
  <si>
    <t>DEF-M2-CRR-TC-080</t>
  </si>
  <si>
    <t>On the Customer Risk Rating Configuration screen, while testing Periodic Review Schedule, the user tried to reject or clamp Critical review frequency above maximum (7 months). The result shown on the screen did not match what was expected.</t>
  </si>
  <si>
    <t>DEF-M2-CRR-TC-084</t>
  </si>
  <si>
    <t>On the Customer Risk Rating Configuration screen, while testing Periodic Review Schedule, the user tried to reject or clamp High review frequency below minimum (2 months). The result shown on the screen did not match what was expected.</t>
  </si>
  <si>
    <t>DEF-M2-CRR-TC-085</t>
  </si>
  <si>
    <t>On the Customer Risk Rating Configuration screen, while testing Periodic Review Schedule, the user tried to reject or clamp High review frequency above maximum (13 months). Page.originalGoto: Navigation to "the application is interrupted by another navigation to "the application.</t>
  </si>
  <si>
    <t>DEF-M2-CRR-TC-089</t>
  </si>
  <si>
    <t>On the Customer Risk Rating Configuration screen, while testing Periodic Review Schedule, the user tried to reject or clamp Medium review frequency below minimum (11 months). Evaluate: Execution context was destroyed, most likely because of a navigation.</t>
  </si>
  <si>
    <t>DEF-M2-CRR-TC-090</t>
  </si>
  <si>
    <t>On the Customer Risk Rating Configuration screen, while testing Periodic Review Schedule, the user tried to reject or clamp Medium review frequency above maximum (37 months). The result shown on the screen did not match what was expected.</t>
  </si>
  <si>
    <t>DEF-M2-CRR-TC-094</t>
  </si>
  <si>
    <t>On the Customer Risk Rating Configuration screen, while testing Periodic Review Schedule, the user tried to reject or clamp Low review frequency below minimum (23 months). The result on the screen did not match what was expected.</t>
  </si>
  <si>
    <t>DEF-M2-CRR-TC-095</t>
  </si>
  <si>
    <t>On the Customer Risk Rating Configuration screen, while testing Periodic Review Schedule, the user tried to reject or clamp Low review frequency above maximum (61 months). The result shown on the screen did not match what was expected.</t>
  </si>
  <si>
    <t>DEF-M2-CRR-TC-096</t>
  </si>
  <si>
    <t>On the Customer Risk Rating Configuration screen, while testing Periodic Review Schedule, the user tried to save valid Periodic Review Schedule successfully for in-range values. A field on the screen did not keep or show the expected value.</t>
  </si>
  <si>
    <t>DEF-M2-CRR-TC-097</t>
  </si>
  <si>
    <t>On the Customer Risk Rating Configuration screen, while testing Periodic Review Schedule, the user tried to periodic frequency change is not retroactive to already scheduled reviews. A sample customer record must be set up before this check can run.</t>
  </si>
  <si>
    <t>DEF-M2-CRR-TC-098</t>
  </si>
  <si>
    <t>Customer Risk Assessment</t>
  </si>
  <si>
    <t>On the Customer Risk Rating Configuration screen, while testing Customer Risk Assessment, the user tried to manual customer risk override resets periodic review start date to override date. A sample customer record must be set up before this check can run.</t>
  </si>
  <si>
    <t>DEF-M2-CRR-TC-099</t>
  </si>
  <si>
    <t>On the Customer Risk Rating Configuration screen, while testing Risk Scoring Configuration, the user tried to composite score equals Σ (Category Weight × Category Parameter Average Score). A sample customer record must be set up before this check can run.</t>
  </si>
  <si>
    <t>DEF-M2-CRR-TC-100</t>
  </si>
  <si>
    <t>On the Customer Risk Rating Configuration screen, while testing Customer Risk Assessment, the user tried to only stage-applicable parameters contribute to the assessment score. A sample customer record must be set up before this check can run.</t>
  </si>
  <si>
    <t>DEF-M2-CRR-TC-101</t>
  </si>
  <si>
    <t>On the Customer Risk Rating Configuration screen, while testing Customer Risk Assessment, the user tried to disabled parameter is excluded from scoring engine evaluation. A sample customer record must be set up before this check can run.</t>
  </si>
  <si>
    <t>DEF-M2-CRR-TC-102</t>
  </si>
  <si>
    <t>On the Customer Risk Rating Configuration screen, while testing Risk Scoring Configuration, the user tried to override = No uses regular composite score classification. Page.originalGoto: Navigation to "the application is interrupted by another navigation to "the application.</t>
  </si>
  <si>
    <t>DEF-M2-CRR-TC-103</t>
  </si>
  <si>
    <t>On the Customer Risk Rating Configuration screen, while testing Risk Scoring Configuration, the user tried to override to High forces High regardless of favourable composite score. A sample customer record must be set up before this check can run.</t>
  </si>
  <si>
    <t>DEF-M2-CRR-TC-104</t>
  </si>
  <si>
    <t>On the Customer Risk Rating Configuration screen, while testing Risk Scoring Configuration, the user tried to override to Critical forces Critical regardless of composite score. A sample customer record must be set up before this check can run.</t>
  </si>
  <si>
    <t>DEF-M2-CRR-TC-105</t>
  </si>
  <si>
    <t>On the Customer Risk Rating Configuration screen, while testing Risk Scoring Configuration, the user tried to map composite score to Critical tier using classification matrix. Page.originalGoto: Navigation to "the application is interrupted by another navigation to "the application.</t>
  </si>
  <si>
    <t>DEF-M2-CRR-TC-106</t>
  </si>
  <si>
    <t>On the Customer Risk Rating Configuration screen, while testing Risk Scoring Configuration, the user tried to map composite score to High tier using classification matrix. A sample customer record must be set up before this check can run.</t>
  </si>
  <si>
    <t>DEF-M2-CRR-TC-107</t>
  </si>
  <si>
    <t>On the Customer Risk Rating Configuration screen, while testing Risk Scoring Configuration, the user tried to map composite score to Medium tier using classification matrix. Page.originalGoto: Navigation to "the application is interrupted by another navigation to "the application.</t>
  </si>
  <si>
    <t>DEF-M2-CRR-TC-108</t>
  </si>
  <si>
    <t>On the Customer Risk Rating Configuration screen, while testing Risk Scoring Configuration, the user tried to map composite score to Low tier using classification matrix. A sample customer record must be set up before this check can run.</t>
  </si>
  <si>
    <t>DEF-M2-CRR-TC-109</t>
  </si>
  <si>
    <t>On the Customer Risk Rating Configuration screen, while testing Customer Risk Assessment, the user tried to ongoing assessment uses ONG-applicable parameters only. A sample customer record must be set up before this check can run.</t>
  </si>
  <si>
    <t>DEF-M2-CRR-TC-110</t>
  </si>
  <si>
    <t>On the Customer Risk Rating Configuration screen, while testing Customer Risk Assessment, the user tried to event-Driven assessment uses EVT-applicable parameters only. A sample customer record must be set up before this check can run.</t>
  </si>
  <si>
    <t>DEF-M2-CRR-TC-111</t>
  </si>
  <si>
    <t>On the Customer Risk Rating Configuration screen, while testing Customer Risk Assessment, the user tried to periodic Review assessment uses PRD-applicable parameters only. A sample customer record must be set up before this check can run.</t>
  </si>
  <si>
    <t>DEF-M2-CRR-TC-117</t>
  </si>
  <si>
    <t>On the Customer Risk Rating Configuration screen, while testing Customer Risk Assessment, the user tried to when both Override to High and Override to Critical parameters trigger, final tier is Critical. A sample customer record must be set up before this check can run.</t>
  </si>
  <si>
    <t>DEF-M2-CRR-TC-118</t>
  </si>
  <si>
    <t>On the Customer Risk Rating Configuration screen, while testing Customer Risk Assessment, the user tried to when only Override to High triggers (no Critical override), final tier is High even if composite... A sample customer record must be set up before this check can run.</t>
  </si>
  <si>
    <t>DEF-M2-CRR-TC-119</t>
  </si>
  <si>
    <t>On the Customer Risk Rating Configuration screen, while testing Maker-Checker Approval, the user tried to checker rejects Risk Scoring Configuration change and prior approved scoring remains active. Something that should appear on the screen was missing or hidden.</t>
  </si>
  <si>
    <t>DEF-M2-CRR-TC-120</t>
  </si>
  <si>
    <t>On the Customer Risk Rating Configuration screen, while testing Maker-Checker Approval, the user tried to checker rejects Periodic Review Frequency change and prior schedule rules remain active. Something that should appear on the screen was missing or hidden.</t>
  </si>
  <si>
    <t>DEF-M2-CRR-TC-121</t>
  </si>
  <si>
    <t>On the Customer Risk Rating Configuration screen, while testing Customer Risk Assessment, the user tried to clarify and execute worked composite-score calculation once sample inputs are provided. A sample customer with known scoring inputs must be set up before this check can run.</t>
  </si>
  <si>
    <t>DEF-M2-CRR-TC-122</t>
  </si>
  <si>
    <t>On the Customer Risk Rating Configuration screen, while testing Risk Scoring Configuration, the user tried to changing Parameter Risk Tier numeric mapping recalculates all parameters using that tier. Something that should appear on the screen was missing or hidden.</t>
  </si>
  <si>
    <t>DEF-M2-CRR-TC-123</t>
  </si>
  <si>
    <t>On the Customer Risk Rating Configuration screen, while testing Periodic Review Schedule, the user tried to after Periodic frequency change, only next-cycle schedules use the new value. A sample customer record must be set up before this check can run.</t>
  </si>
  <si>
    <t>DEF-M2-CRR-TC-001</t>
  </si>
  <si>
    <t>Page Layout and Navigation</t>
  </si>
  <si>
    <t>On the Customer Risk Rating Configuration screen, while testing Page Layout and Navigation, the user tried to open Customer Risk Rating Configuration from Configuration menu and verify page shell. Page.originalGoto: net::ERR_ABORTED at the application.</t>
  </si>
  <si>
    <t>DEF-M2-CRR-TC-010</t>
  </si>
  <si>
    <t>On the Customer Risk Rating Configuration screen, while testing Category Weights and Parameters, the user tried to preserve unsaved Weight edit when switching away and back to Category Weights &amp; Parameters. A field on the screen did not keep or show the expected value.</t>
  </si>
  <si>
    <t>DEF-M2-CRR-TC-011</t>
  </si>
  <si>
    <t>On the Customer Risk Rating Configuration screen, while testing Risk Scoring Configuration, the user tried to preserve unsaved Scoring range edit when switching away and back to Risk Scoring Configuration. A field on the screen did not keep or show the expected value.</t>
  </si>
  <si>
    <t>DEF-M2-CRR-TC-012</t>
  </si>
  <si>
    <t>On the Customer Risk Rating Configuration screen, while testing Periodic Review Schedule, the user tried to preserve unsaved Periodic frequency edit when switching away and back. A field on the screen did not keep or show the expected value.</t>
  </si>
  <si>
    <t>DEF-M2-CRR-TC-017</t>
  </si>
  <si>
    <t>Low</t>
  </si>
  <si>
    <t>On the Customer Risk Rating Configuration screen, while testing Category Weights and Parameters, the user tried to select category 4.2 Geographic &amp; Jurisdictional Risk and verify header, weight control, and param... The message or label shown on the screen did not match what was expected.</t>
  </si>
  <si>
    <t>DEF-M2-CRR-TC-018</t>
  </si>
  <si>
    <t>On the Customer Risk Rating Configuration screen, while testing Category Weights and Parameters, the user tried to select category 4.3 Transactional Behaviour Risk and verify header, weight control, and parameter... Page.originalGoto: Navigation to "the application is interrupted by another navigation to "the application.</t>
  </si>
  <si>
    <t>DEF-M2-CRR-TC-019</t>
  </si>
  <si>
    <t>On the Customer Risk Rating Configuration screen, while testing Category Weights and Parameters, the user tried to select category 4.4 Business &amp; Occupation Risk and verify header, weight control, and parameter grid. Expected pattern: /is-active/.</t>
  </si>
  <si>
    <t>DEF-M2-CRR-TC-020</t>
  </si>
  <si>
    <t>On the Customer Risk Rating Configuration screen, while testing Category Weights and Parameters, the user tried to select category 4.5 Customer Profile &amp; KYC Risk and verify header, weight control, and parameter... The message or label shown on the screen did not match what was expected.</t>
  </si>
  <si>
    <t>DEF-M2-CRR-TC-023</t>
  </si>
  <si>
    <t>On the Customer Risk Rating Configuration screen, while testing Category Weights and Parameters, the user tried to select category 4.8 Financial Profile Risk and verify header, weight control, and parameter grid. The message or label shown on the screen did not match what was expected.</t>
  </si>
  <si>
    <t>DEF-M2-CRR-TC-026</t>
  </si>
  <si>
    <t>On the Customer Risk Rating Configuration screen, while testing Category Weights and Parameters, the user tried to edit category weight and confirm sidebar badge and banner update in real time. The message or label shown on the screen did not match what was expected.</t>
  </si>
  <si>
    <t>DEF-M2-CRR-TC-033</t>
  </si>
  <si>
    <t>On the Customer Risk Rating Configuration screen, while testing Category Weights and Parameters, the user tried to verify Score on parameter row is read-only and updates when Risk Tier changes. Page.originalGoto: Navigation to "the application is interrupted by another navigation to "the application.</t>
  </si>
  <si>
    <t>DEF-M2-CRR-TC-036</t>
  </si>
  <si>
    <t>General Functionality</t>
  </si>
  <si>
    <t>On the Customer Risk Rating Configuration screen, while testing General Functionality, the user tried to selecting Risk Tier "High" assigns default numeric score 75. The message or label shown on the screen did not match what was expected.</t>
  </si>
  <si>
    <t>DEF-M2-CRR-TC-043</t>
  </si>
  <si>
    <t>On the Customer Risk Rating Configuration screen, while testing Category Weights and Parameters, the user tried to toggle ONG (Ongoing Monitoring) stage checkbox independently on an enabled parameter. Expected: unchecked.</t>
  </si>
  <si>
    <t>DEF-M2-CRR-TC-046</t>
  </si>
  <si>
    <t>On the Customer Risk Rating Configuration screen, while testing Category Weights and Parameters, the user tried to disable parameter locks all Assessment Stage checkboxes. Page.originalGoto: Navigation to "the application is interrupted by another navigation to "the application.</t>
  </si>
  <si>
    <t>DEF-M2-CRR-TC-047</t>
  </si>
  <si>
    <t>On the Customer Risk Rating Configuration screen, while testing Tab Navigation, the user tried to disable parameter also disables Risk Tier and Override controls. Page.originalGoto: Navigation to "the application is interrupted by another navigation to "the application.</t>
  </si>
  <si>
    <t>DEF-M2-CRR-TC-052</t>
  </si>
  <si>
    <t>On the Customer Risk Rating Configuration screen, while testing Customer Risk Assessment, the user tried to use sub-section bulk EVT control to set EVT for all enabled parameters. Page.originalGoto: Navigation to "the application is interrupted by another navigation to "the application.</t>
  </si>
  <si>
    <t>DEF-M2-CRR-TC-055</t>
  </si>
  <si>
    <t>On the Customer Risk Rating Configuration screen, while testing Category Weights and Parameters, the user tried to verify parameter "UN Security Council / Taliban Sanctions (1267/1989)" is listed under Sanctions... Page.originalGoto: Navigation to "the application is interrupted by another navigation to "the application.</t>
  </si>
  <si>
    <t>DEF-M2-CRR-TC-056</t>
  </si>
  <si>
    <t>On the Customer Risk Rating Configuration screen, while testing Category Weights and Parameters, the user tried to verify parameter "Internal Bank Blacklist" is listed under Sanctions &amp; Watchlist Risk. Page.originalGoto: Navigation to "the application is interrupted by another navigation to "the application.</t>
  </si>
  <si>
    <t>DEF-M2-CRR-TC-061</t>
  </si>
  <si>
    <t>On the Customer Risk Rating Configuration screen, while testing General Functionality, the user tried to verify Low tier From bound is fixed at 0 and read-only. Evaluate: Execution context was destroyed, most likely because of a navigation.</t>
  </si>
  <si>
    <t>DEF-M2-CRR-TC-070</t>
  </si>
  <si>
    <t>On the Customer Risk Rating Configuration screen, while testing Risk Scoring Configuration, the user tried to edit Parameter Risk Tier numeric score mapping for "Medium". A field on the screen did not keep or show the expected value.</t>
  </si>
  <si>
    <t>DEF-M2-CRR-TC-072</t>
  </si>
  <si>
    <t>On the Customer Risk Rating Configuration screen, while testing Risk Scoring Configuration, the user tried to edit Parameter Risk Tier numeric score mapping for "Low". A field on the screen did not keep or show the expected value.</t>
  </si>
  <si>
    <t>DEF-M2-CRR-TC-078</t>
  </si>
  <si>
    <t>On the Customer Risk Rating Configuration screen, while testing Periodic Review Schedule, the user tried to accept Critical review frequency at maximum boundary 6 months. A field on the screen did not keep or show the expected value.</t>
  </si>
  <si>
    <t>DEF-M2-CRR-TC-083</t>
  </si>
  <si>
    <t>On the Customer Risk Rating Configuration screen, while testing Periodic Review Schedule, the user tried to accept High review frequency at maximum boundary 12 months. A field on the screen did not keep or show the expected value.</t>
  </si>
  <si>
    <t>DEF-M2-CRR-TC-092</t>
  </si>
  <si>
    <t>On the Customer Risk Rating Configuration screen, while testing Periodic Review Schedule, the user tried to accept Low review frequency at minimum boundary 24 months. A field on the screen did not keep or show the expected value.</t>
  </si>
  <si>
    <t>DEF-M2-CRR-TC-093</t>
  </si>
  <si>
    <t>On the Customer Risk Rating Configuration screen, while testing Periodic Review Schedule, the user tried to accept Low review frequency at maximum boundary 60 months. A field on the screen did not keep or show the expected value.</t>
  </si>
  <si>
    <t>DEF-M2-CRR-TC-113</t>
  </si>
  <si>
    <t>On the Customer Risk Rating Configuration screen, while testing Category Weights and Parameters, the user tried to use sub-section bulk ONB control on Sanctions &amp; Watchlist Risk (non-locked category). Page.originalGoto: Navigation to "the application is interrupted by another navigation to "the application.</t>
  </si>
  <si>
    <t>DEF-M2-CRR-TC-115</t>
  </si>
  <si>
    <t>On the Customer Risk Rating Configuration screen, while testing General Functionality, the user tried to verify bulk ONB control is not available for Transactional Behaviour Risk (4.3 hard-locked). Expected: disabled.</t>
  </si>
  <si>
    <t>DEF-M2-CRR-TC-116</t>
  </si>
  <si>
    <t>On the Customer Risk Rating Configuration screen, while testing General Functionality, the user tried to verify bulk ONB control is not available for Financial Profile Risk (4.8 hard-locked). Page.originalGoto: Navigation to "the application is interrupted by another navigation to "the application.</t>
  </si>
  <si>
    <t>Found Date</t>
  </si>
  <si>
    <t>DEF-M2-MAN-001</t>
  </si>
  <si>
    <t>Manual</t>
  </si>
  <si>
    <t>Manual regression</t>
  </si>
  <si>
    <t>Example: describe issue found during manual testing</t>
  </si>
  <si>
    <t>Not executed</t>
  </si>
  <si>
    <t>Not automated — no script</t>
  </si>
  <si>
    <t>Field</t>
  </si>
  <si>
    <t>Definition</t>
  </si>
  <si>
    <t>Passed ÷ Total executed × 100</t>
  </si>
  <si>
    <t>Defects from automation</t>
  </si>
  <si>
    <t>Rows in *-defects.xlsx from failed Playwright runs</t>
  </si>
  <si>
    <t>Rows you add on Manual Defect Register (Found By = Manual)</t>
  </si>
  <si>
    <t>Missed by automation</t>
  </si>
  <si>
    <t>Manual defect where automation did not catch the issue (Yes on register)</t>
  </si>
  <si>
    <t>False negative</t>
  </si>
  <si>
    <t>Manual defect + same TC automation result = Passed</t>
  </si>
  <si>
    <t>Missed by automation ÷ (Automation passed + manual defects found)</t>
  </si>
  <si>
    <t>Miss reason: False negative — automation passed</t>
  </si>
  <si>
    <t>TC in spec, last run passed, manual found bug</t>
  </si>
  <si>
    <t>Miss reason: Not automated — no script</t>
  </si>
  <si>
    <t>TC in Excel but not in .spec.ts</t>
  </si>
  <si>
    <t>Miss reason: Manual-only test case</t>
  </si>
  <si>
    <t>Excel case marked manual-only by design</t>
  </si>
  <si>
    <t>Regenerate dashboard</t>
  </si>
  <si>
    <t>npm run docs:qa-dashboard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</si>
</sst>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1F4E79"/>
      <sz val="16"/>
    </font>
    <font>
      <i/>
      <color rgb="FF666666"/>
      <sz val="9"/>
    </font>
    <font>
      <b/>
      <sz val="11"/>
    </font>
    <font>
      <b/>
      <sz val="10"/>
    </font>
    <font>
      <b/>
      <color rgb="FF1F4E79"/>
      <sz val="12"/>
    </font>
    <font>
      <b/>
      <color rgb="FF006100"/>
      <sz val="12"/>
    </font>
    <font>
      <b/>
      <color rgb="FF9C0006"/>
      <sz val="12"/>
    </font>
    <font>
      <b/>
      <color rgb="FF7030A0"/>
      <sz val="12"/>
    </font>
    <font>
      <b/>
      <color rgb="FF9C6500"/>
      <sz val="12"/>
    </font>
    <font>
      <sz val="9"/>
    </font>
    <font>
      <b/>
      <color rgb="FFFFFFFF"/>
      <sz val="11"/>
    </font>
    <font>
      <b/>
      <color rgb="FF9C0006"/>
    </font>
    <font>
      <b/>
      <color rgb="FF006100"/>
    </font>
    <font>
      <i/>
      <color rgb="FF888888"/>
    </font>
  </fonts>
  <fills count="10">
    <fill>
      <patternFill patternType="none"/>
    </fill>
    <fill>
      <patternFill patternType="gray125"/>
    </fill>
    <fill>
      <patternFill patternType="solid">
        <fgColor rgb="FFE2EFDA"/>
      </patternFill>
    </fill>
    <fill>
      <patternFill patternType="solid">
        <fgColor rgb="FFD6E4F0"/>
      </patternFill>
    </fill>
    <fill>
      <patternFill patternType="solid">
        <fgColor rgb="FFF2F9FF"/>
      </patternFill>
    </fill>
    <fill>
      <patternFill patternType="solid">
        <fgColor rgb="FFC6EFCE"/>
      </patternFill>
    </fill>
    <fill>
      <patternFill patternType="solid">
        <fgColor rgb="FFFFC7CE"/>
      </patternFill>
    </fill>
    <fill>
      <patternFill patternType="solid">
        <fgColor rgb="FFE4DFEC"/>
      </patternFill>
    </fill>
    <fill>
      <patternFill patternType="solid">
        <fgColor rgb="FFFFEB9C"/>
      </patternFill>
    </fill>
    <fill>
      <patternFill patternType="solid">
        <fgColor rgb="FF1F4E79"/>
      </patternFill>
    </fill>
  </fills>
  <borders count="2">
    <border>
      <left/>
      <right/>
      <top/>
      <bottom/>
      <diagonal/>
    </border>
    <border>
      <left style="thin"/>
      <right style="thin"/>
      <top style="thin"/>
      <bottom style="thin"/>
      <diagonal/>
    </border>
  </borders>
  <cellStyleXfs count="1">
    <xf numFmtId="0" fontId="0" fillId="0" borderId="0"/>
  </cellStyleXfs>
  <cellXfs count="22">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xf numFmtId="0" fontId="4"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9" fillId="8" borderId="1" xfId="0" applyFont="1" applyFill="1" applyBorder="1" applyAlignment="1">
      <alignment horizontal="center" vertical="center"/>
    </xf>
    <xf numFmtId="0" fontId="10" fillId="0" borderId="0" xfId="0" applyFont="1"/>
    <xf numFmtId="0" fontId="11" fillId="9"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12" fillId="6" borderId="1" xfId="0" applyFont="1" applyFill="1" applyBorder="1" applyAlignment="1">
      <alignment horizontal="center"/>
    </xf>
    <xf numFmtId="0" fontId="13" fillId="5" borderId="1" xfId="0" applyFont="1" applyFill="1" applyBorder="1" applyAlignment="1">
      <alignment horizontal="center"/>
    </xf>
    <xf numFmtId="0" fontId="0" fillId="4" borderId="1" xfId="0" applyFill="1" applyBorder="1"/>
    <xf numFmtId="0" fontId="13" fillId="5" borderId="1" xfId="0" applyFont="1" applyFill="1" applyBorder="1"/>
    <xf numFmtId="0" fontId="14" fillId="0" borderId="1" xfId="0" applyFont="1" applyBorder="1"/>
    <xf numFmtId="0" fontId="11" fillId="9"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9"/>
  </sheetPr>
  <dimension ref="A1:D28"/>
  <sheetViews>
    <sheetView workbookViewId="0">
      <pane ySplit="3" topLeftCell="A4" activePane="bottomLeft" state="frozen"/>
      <selection pane="bottomLeft"/>
    </sheetView>
  </sheetViews>
  <sheetFormatPr defaultRowHeight="15" outlineLevelRow="0" outlineLevelCol="0" x14ac:dyDescent="55"/>
  <cols>
    <col min="1" max="1" width="42" customWidth="1"/>
    <col min="2" max="2" width="18" customWidth="1"/>
    <col min="3" max="3" width="42" customWidth="1"/>
    <col min="4" max="4" width="18" customWidth="1"/>
  </cols>
  <sheetData>
    <row r="1" spans="1:4" x14ac:dyDescent="0.25">
      <c r="A1" s="1" t="s">
        <v>0</v>
      </c>
      <c r="B1" s="1"/>
      <c r="C1" s="1"/>
      <c r="D1" s="1"/>
    </row>
    <row r="2" spans="1:4" x14ac:dyDescent="0.25">
      <c r="A2" s="2" t="s">
        <v>1</v>
      </c>
      <c r="B2" s="2"/>
      <c r="C2" s="2"/>
      <c r="D2" s="2"/>
    </row>
    <row r="4" spans="1:4" x14ac:dyDescent="0.25">
      <c r="A4" s="3" t="s">
        <v>2</v>
      </c>
      <c r="B4" s="3"/>
      <c r="C4" s="3"/>
      <c r="D4" s="3"/>
    </row>
    <row r="5" spans="1:2" x14ac:dyDescent="0.25">
      <c r="A5" s="4" t="s">
        <v>3</v>
      </c>
      <c r="B5" s="5" t="s">
        <v>4</v>
      </c>
    </row>
    <row r="6" spans="1:2" x14ac:dyDescent="0.25">
      <c r="A6" s="4" t="s">
        <v>5</v>
      </c>
      <c r="B6" s="5" t="s">
        <v>6</v>
      </c>
    </row>
    <row r="7" spans="1:2" x14ac:dyDescent="0.25">
      <c r="A7" s="4" t="s">
        <v>7</v>
      </c>
      <c r="B7" s="5" t="s">
        <v>8</v>
      </c>
    </row>
    <row r="8" spans="1:2" x14ac:dyDescent="0.25">
      <c r="A8" s="4" t="s">
        <v>9</v>
      </c>
      <c r="B8" s="5" t="s">
        <v>10</v>
      </c>
    </row>
    <row r="9" spans="1:2" x14ac:dyDescent="0.25">
      <c r="A9" s="4" t="s">
        <v>11</v>
      </c>
      <c r="B9" s="5">
        <v>123</v>
      </c>
    </row>
    <row r="10" spans="1:2" x14ac:dyDescent="0.25">
      <c r="A10" s="4" t="s">
        <v>12</v>
      </c>
      <c r="B10" s="6">
        <v>57</v>
      </c>
    </row>
    <row r="11" spans="1:2" x14ac:dyDescent="0.25">
      <c r="A11" s="4" t="s">
        <v>13</v>
      </c>
      <c r="B11" s="7">
        <v>66</v>
      </c>
    </row>
    <row r="12" spans="1:2" x14ac:dyDescent="0.25">
      <c r="A12" s="4" t="s">
        <v>14</v>
      </c>
      <c r="B12" s="5">
        <v>0</v>
      </c>
    </row>
    <row r="13" spans="1:2" x14ac:dyDescent="0.25">
      <c r="A13" s="4" t="s">
        <v>15</v>
      </c>
      <c r="B13" s="5" t="s">
        <v>16</v>
      </c>
    </row>
    <row r="14" spans="1:2" x14ac:dyDescent="0.25">
      <c r="A14" s="4" t="s">
        <v>17</v>
      </c>
      <c r="B14" s="5" t="s">
        <v>18</v>
      </c>
    </row>
    <row r="15" spans="1:2" x14ac:dyDescent="0.25">
      <c r="A15" s="4" t="s">
        <v>19</v>
      </c>
      <c r="B15" s="5">
        <v>123</v>
      </c>
    </row>
    <row r="17" spans="1:4" x14ac:dyDescent="0.25">
      <c r="A17" s="3" t="s">
        <v>20</v>
      </c>
      <c r="B17" s="3"/>
      <c r="C17" s="3"/>
      <c r="D17" s="3"/>
    </row>
    <row r="18" spans="1:2" x14ac:dyDescent="0.25">
      <c r="A18" s="4" t="s">
        <v>21</v>
      </c>
      <c r="B18" s="5">
        <v>76</v>
      </c>
    </row>
    <row r="19" spans="1:2" x14ac:dyDescent="0.25">
      <c r="A19" s="4" t="s">
        <v>22</v>
      </c>
      <c r="B19" s="8">
        <f>COUNTA('Manual Defect Register'!A:A)-1</f>
      </c>
    </row>
    <row r="20" spans="1:2" x14ac:dyDescent="0.25">
      <c r="A20" s="4" t="s">
        <v>23</v>
      </c>
      <c r="B20" s="9">
        <f>COUNTIF('Manual Defect Register'!O:O,"Yes")</f>
      </c>
    </row>
    <row r="21" spans="1:2" x14ac:dyDescent="0.25">
      <c r="A21" s="4" t="s">
        <v>24</v>
      </c>
      <c r="B21" s="7">
        <f>COUNTIFS('Manual Defect Register'!O:O,"Yes",'Manual Defect Register'!N:N,"Passed")</f>
      </c>
    </row>
    <row r="22" spans="1:2" x14ac:dyDescent="0.25">
      <c r="A22" s="4" t="s">
        <v>25</v>
      </c>
      <c r="B22" s="9">
        <f>IF((INDEX('Automation Runs'!H:H,2)+COUNTA('Manual Defect Register'!A:A)-1)=0,"—",ROUND(COUNTIF('Manual Defect Register'!O:O,"Yes")/(INDEX('Automation Runs'!H:H,2)+COUNTA('Manual Defect Register'!A:A)-1)*100,1)&amp;"%")</f>
      </c>
    </row>
    <row r="24" spans="1:4" x14ac:dyDescent="0.25">
      <c r="A24" s="3" t="s">
        <v>26</v>
      </c>
      <c r="B24" s="3"/>
      <c r="C24" s="3"/>
      <c r="D24" s="3"/>
    </row>
    <row r="25" spans="1:4" x14ac:dyDescent="0.25">
      <c r="A25" s="10" t="s">
        <v>27</v>
      </c>
      <c r="B25" s="10"/>
      <c r="C25" s="10"/>
      <c r="D25" s="10"/>
    </row>
    <row r="26" spans="1:4" x14ac:dyDescent="0.25">
      <c r="A26" s="10" t="s">
        <v>28</v>
      </c>
      <c r="B26" s="10"/>
      <c r="C26" s="10"/>
      <c r="D26" s="10"/>
    </row>
    <row r="27" spans="1:4" x14ac:dyDescent="0.25">
      <c r="A27" s="10" t="s">
        <v>29</v>
      </c>
      <c r="B27" s="10"/>
      <c r="C27" s="10"/>
      <c r="D27" s="10"/>
    </row>
    <row r="28" spans="1:4" x14ac:dyDescent="0.25">
      <c r="A28" s="10" t="s">
        <v>30</v>
      </c>
      <c r="B28" s="10"/>
      <c r="C28" s="10"/>
      <c r="D28" s="10"/>
    </row>
  </sheetData>
  <mergeCells count="9">
    <mergeCell ref="A1:D1"/>
    <mergeCell ref="A2:D2"/>
    <mergeCell ref="A4:D4"/>
    <mergeCell ref="A17:D17"/>
    <mergeCell ref="A24:D24"/>
    <mergeCell ref="A25:D25"/>
    <mergeCell ref="A26:D26"/>
    <mergeCell ref="A27:D27"/>
    <mergeCell ref="A28:D2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36" customWidth="1"/>
    <col min="3" max="3" width="10" customWidth="1"/>
    <col min="4" max="4" width="12" customWidth="1"/>
    <col min="5" max="5" width="40" customWidth="1"/>
    <col min="6" max="6" width="55" customWidth="1"/>
    <col min="7" max="10" width="8" customWidth="1"/>
    <col min="11" max="13" width="12" customWidth="1"/>
  </cols>
  <sheetData>
    <row r="1" ht="26" customHeight="1" spans="1:13" x14ac:dyDescent="0.25">
      <c r="A1" s="11" t="s">
        <v>31</v>
      </c>
      <c r="B1" s="11" t="s">
        <v>3</v>
      </c>
      <c r="C1" s="11" t="s">
        <v>7</v>
      </c>
      <c r="D1" s="11" t="s">
        <v>5</v>
      </c>
      <c r="E1" s="11" t="s">
        <v>32</v>
      </c>
      <c r="F1" s="11" t="s">
        <v>33</v>
      </c>
      <c r="G1" s="11" t="s">
        <v>34</v>
      </c>
      <c r="H1" s="11" t="s">
        <v>12</v>
      </c>
      <c r="I1" s="11" t="s">
        <v>13</v>
      </c>
      <c r="J1" s="11" t="s">
        <v>14</v>
      </c>
      <c r="K1" s="11" t="s">
        <v>35</v>
      </c>
      <c r="L1" s="11" t="s">
        <v>17</v>
      </c>
      <c r="M1" s="11" t="s">
        <v>36</v>
      </c>
    </row>
    <row r="2" spans="1:13" x14ac:dyDescent="0.25">
      <c r="A2" s="12" t="s">
        <v>10</v>
      </c>
      <c r="B2" s="12" t="s">
        <v>4</v>
      </c>
      <c r="C2" s="12" t="s">
        <v>8</v>
      </c>
      <c r="D2" s="12" t="s">
        <v>6</v>
      </c>
      <c r="E2" s="12" t="s">
        <v>37</v>
      </c>
      <c r="F2" s="12" t="s">
        <v>38</v>
      </c>
      <c r="G2" s="13">
        <v>123</v>
      </c>
      <c r="H2" s="14">
        <v>57</v>
      </c>
      <c r="I2" s="15">
        <v>66</v>
      </c>
      <c r="J2" s="13">
        <v>0</v>
      </c>
      <c r="K2" s="12">
        <v>46.3</v>
      </c>
      <c r="L2" s="12" t="s">
        <v>18</v>
      </c>
      <c r="M2" s="12">
        <v>23.9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4" customWidth="1"/>
    <col min="3" max="3" width="36" customWidth="1"/>
    <col min="4" max="4" width="10" customWidth="1"/>
    <col min="5" max="5" width="12" customWidth="1"/>
    <col min="6" max="6" width="10" customWidth="1"/>
    <col min="7" max="7" width="70" customWidth="1"/>
  </cols>
  <sheetData>
    <row r="1" ht="26" customHeight="1" spans="1:7" x14ac:dyDescent="0.25">
      <c r="A1" s="11" t="s">
        <v>39</v>
      </c>
      <c r="B1" s="11" t="s">
        <v>3</v>
      </c>
      <c r="C1" s="11" t="s">
        <v>40</v>
      </c>
      <c r="D1" s="11" t="s">
        <v>41</v>
      </c>
      <c r="E1" s="11" t="s">
        <v>17</v>
      </c>
      <c r="F1" s="11" t="s">
        <v>42</v>
      </c>
      <c r="G1" s="11" t="s">
        <v>43</v>
      </c>
    </row>
    <row r="2" spans="1:7" x14ac:dyDescent="0.25">
      <c r="A2" s="12" t="s">
        <v>44</v>
      </c>
      <c r="B2" s="12" t="s">
        <v>4</v>
      </c>
      <c r="C2" s="12" t="s">
        <v>45</v>
      </c>
      <c r="D2" s="16" t="s">
        <v>13</v>
      </c>
      <c r="E2" s="12" t="s">
        <v>46</v>
      </c>
      <c r="F2" s="12" t="s">
        <v>47</v>
      </c>
      <c r="G2" s="12" t="s">
        <v>48</v>
      </c>
    </row>
    <row r="3" spans="1:7" x14ac:dyDescent="0.25">
      <c r="A3" s="12" t="s">
        <v>49</v>
      </c>
      <c r="B3" s="12" t="s">
        <v>4</v>
      </c>
      <c r="C3" s="12" t="s">
        <v>45</v>
      </c>
      <c r="D3" s="17" t="s">
        <v>12</v>
      </c>
      <c r="E3" s="12" t="s">
        <v>50</v>
      </c>
      <c r="F3" s="12" t="s">
        <v>47</v>
      </c>
      <c r="G3" s="12" t="s">
        <v>51</v>
      </c>
    </row>
    <row r="4" spans="1:7" x14ac:dyDescent="0.25">
      <c r="A4" s="12" t="s">
        <v>52</v>
      </c>
      <c r="B4" s="12" t="s">
        <v>4</v>
      </c>
      <c r="C4" s="12" t="s">
        <v>45</v>
      </c>
      <c r="D4" s="17" t="s">
        <v>12</v>
      </c>
      <c r="E4" s="12" t="s">
        <v>53</v>
      </c>
      <c r="F4" s="12" t="s">
        <v>47</v>
      </c>
      <c r="G4" s="12" t="s">
        <v>51</v>
      </c>
    </row>
    <row r="5" spans="1:7" x14ac:dyDescent="0.25">
      <c r="A5" s="12" t="s">
        <v>54</v>
      </c>
      <c r="B5" s="12" t="s">
        <v>4</v>
      </c>
      <c r="C5" s="12" t="s">
        <v>45</v>
      </c>
      <c r="D5" s="16" t="s">
        <v>13</v>
      </c>
      <c r="E5" s="12" t="s">
        <v>46</v>
      </c>
      <c r="F5" s="12" t="s">
        <v>47</v>
      </c>
      <c r="G5" s="12" t="s">
        <v>55</v>
      </c>
    </row>
    <row r="6" spans="1:7" x14ac:dyDescent="0.25">
      <c r="A6" s="12" t="s">
        <v>56</v>
      </c>
      <c r="B6" s="12" t="s">
        <v>4</v>
      </c>
      <c r="C6" s="12" t="s">
        <v>45</v>
      </c>
      <c r="D6" s="17" t="s">
        <v>12</v>
      </c>
      <c r="E6" s="12" t="s">
        <v>57</v>
      </c>
      <c r="F6" s="12" t="s">
        <v>47</v>
      </c>
      <c r="G6" s="12" t="s">
        <v>51</v>
      </c>
    </row>
    <row r="7" spans="1:7" x14ac:dyDescent="0.25">
      <c r="A7" s="12" t="s">
        <v>58</v>
      </c>
      <c r="B7" s="12" t="s">
        <v>4</v>
      </c>
      <c r="C7" s="12" t="s">
        <v>45</v>
      </c>
      <c r="D7" s="16" t="s">
        <v>13</v>
      </c>
      <c r="E7" s="12" t="s">
        <v>46</v>
      </c>
      <c r="F7" s="12" t="s">
        <v>47</v>
      </c>
      <c r="G7" s="12" t="s">
        <v>48</v>
      </c>
    </row>
    <row r="8" spans="1:7" x14ac:dyDescent="0.25">
      <c r="A8" s="12" t="s">
        <v>59</v>
      </c>
      <c r="B8" s="12" t="s">
        <v>4</v>
      </c>
      <c r="C8" s="12" t="s">
        <v>45</v>
      </c>
      <c r="D8" s="17" t="s">
        <v>12</v>
      </c>
      <c r="E8" s="12" t="s">
        <v>60</v>
      </c>
      <c r="F8" s="12" t="s">
        <v>47</v>
      </c>
      <c r="G8" s="12" t="s">
        <v>51</v>
      </c>
    </row>
    <row r="9" spans="1:7" x14ac:dyDescent="0.25">
      <c r="A9" s="12" t="s">
        <v>61</v>
      </c>
      <c r="B9" s="12" t="s">
        <v>4</v>
      </c>
      <c r="C9" s="12" t="s">
        <v>45</v>
      </c>
      <c r="D9" s="17" t="s">
        <v>12</v>
      </c>
      <c r="E9" s="12" t="s">
        <v>62</v>
      </c>
      <c r="F9" s="12" t="s">
        <v>47</v>
      </c>
      <c r="G9" s="12" t="s">
        <v>51</v>
      </c>
    </row>
    <row r="10" spans="1:7" x14ac:dyDescent="0.25">
      <c r="A10" s="12" t="s">
        <v>63</v>
      </c>
      <c r="B10" s="12" t="s">
        <v>4</v>
      </c>
      <c r="C10" s="12" t="s">
        <v>45</v>
      </c>
      <c r="D10" s="17" t="s">
        <v>12</v>
      </c>
      <c r="E10" s="12" t="s">
        <v>60</v>
      </c>
      <c r="F10" s="12" t="s">
        <v>47</v>
      </c>
      <c r="G10" s="12" t="s">
        <v>51</v>
      </c>
    </row>
    <row r="11" spans="1:7" x14ac:dyDescent="0.25">
      <c r="A11" s="12" t="s">
        <v>64</v>
      </c>
      <c r="B11" s="12" t="s">
        <v>4</v>
      </c>
      <c r="C11" s="12" t="s">
        <v>45</v>
      </c>
      <c r="D11" s="16" t="s">
        <v>13</v>
      </c>
      <c r="E11" s="12" t="s">
        <v>65</v>
      </c>
      <c r="F11" s="12" t="s">
        <v>47</v>
      </c>
      <c r="G11" s="12" t="s">
        <v>66</v>
      </c>
    </row>
    <row r="12" spans="1:7" x14ac:dyDescent="0.25">
      <c r="A12" s="12" t="s">
        <v>67</v>
      </c>
      <c r="B12" s="12" t="s">
        <v>4</v>
      </c>
      <c r="C12" s="12" t="s">
        <v>45</v>
      </c>
      <c r="D12" s="16" t="s">
        <v>13</v>
      </c>
      <c r="E12" s="12" t="s">
        <v>57</v>
      </c>
      <c r="F12" s="12" t="s">
        <v>47</v>
      </c>
      <c r="G12" s="12" t="s">
        <v>66</v>
      </c>
    </row>
    <row r="13" spans="1:7" x14ac:dyDescent="0.25">
      <c r="A13" s="12" t="s">
        <v>68</v>
      </c>
      <c r="B13" s="12" t="s">
        <v>4</v>
      </c>
      <c r="C13" s="12" t="s">
        <v>45</v>
      </c>
      <c r="D13" s="16" t="s">
        <v>13</v>
      </c>
      <c r="E13" s="12" t="s">
        <v>69</v>
      </c>
      <c r="F13" s="12" t="s">
        <v>47</v>
      </c>
      <c r="G13" s="12" t="s">
        <v>66</v>
      </c>
    </row>
    <row r="14" spans="1:7" x14ac:dyDescent="0.25">
      <c r="A14" s="12" t="s">
        <v>70</v>
      </c>
      <c r="B14" s="12" t="s">
        <v>4</v>
      </c>
      <c r="C14" s="12" t="s">
        <v>45</v>
      </c>
      <c r="D14" s="17" t="s">
        <v>12</v>
      </c>
      <c r="E14" s="12" t="s">
        <v>62</v>
      </c>
      <c r="F14" s="12" t="s">
        <v>47</v>
      </c>
      <c r="G14" s="12" t="s">
        <v>51</v>
      </c>
    </row>
    <row r="15" spans="1:7" x14ac:dyDescent="0.25">
      <c r="A15" s="12" t="s">
        <v>71</v>
      </c>
      <c r="B15" s="12" t="s">
        <v>4</v>
      </c>
      <c r="C15" s="12" t="s">
        <v>45</v>
      </c>
      <c r="D15" s="16" t="s">
        <v>13</v>
      </c>
      <c r="E15" s="12" t="s">
        <v>69</v>
      </c>
      <c r="F15" s="12" t="s">
        <v>47</v>
      </c>
      <c r="G15" s="12" t="s">
        <v>72</v>
      </c>
    </row>
    <row r="16" spans="1:7" x14ac:dyDescent="0.25">
      <c r="A16" s="12" t="s">
        <v>73</v>
      </c>
      <c r="B16" s="12" t="s">
        <v>4</v>
      </c>
      <c r="C16" s="12" t="s">
        <v>45</v>
      </c>
      <c r="D16" s="17" t="s">
        <v>12</v>
      </c>
      <c r="E16" s="12" t="s">
        <v>74</v>
      </c>
      <c r="F16" s="12" t="s">
        <v>47</v>
      </c>
      <c r="G16" s="12" t="s">
        <v>51</v>
      </c>
    </row>
    <row r="17" spans="1:7" x14ac:dyDescent="0.25">
      <c r="A17" s="12" t="s">
        <v>75</v>
      </c>
      <c r="B17" s="12" t="s">
        <v>4</v>
      </c>
      <c r="C17" s="12" t="s">
        <v>45</v>
      </c>
      <c r="D17" s="17" t="s">
        <v>12</v>
      </c>
      <c r="E17" s="12" t="s">
        <v>76</v>
      </c>
      <c r="F17" s="12" t="s">
        <v>47</v>
      </c>
      <c r="G17" s="12" t="s">
        <v>51</v>
      </c>
    </row>
    <row r="18" spans="1:7" x14ac:dyDescent="0.25">
      <c r="A18" s="12" t="s">
        <v>77</v>
      </c>
      <c r="B18" s="12" t="s">
        <v>4</v>
      </c>
      <c r="C18" s="12" t="s">
        <v>45</v>
      </c>
      <c r="D18" s="16" t="s">
        <v>13</v>
      </c>
      <c r="E18" s="12" t="s">
        <v>78</v>
      </c>
      <c r="F18" s="12" t="s">
        <v>47</v>
      </c>
      <c r="G18" s="12" t="s">
        <v>79</v>
      </c>
    </row>
    <row r="19" spans="1:7" x14ac:dyDescent="0.25">
      <c r="A19" s="12" t="s">
        <v>80</v>
      </c>
      <c r="B19" s="12" t="s">
        <v>4</v>
      </c>
      <c r="C19" s="12" t="s">
        <v>45</v>
      </c>
      <c r="D19" s="16" t="s">
        <v>13</v>
      </c>
      <c r="E19" s="12" t="s">
        <v>81</v>
      </c>
      <c r="F19" s="12" t="s">
        <v>47</v>
      </c>
      <c r="G19" s="12" t="s">
        <v>55</v>
      </c>
    </row>
    <row r="20" spans="1:7" x14ac:dyDescent="0.25">
      <c r="A20" s="12" t="s">
        <v>82</v>
      </c>
      <c r="B20" s="12" t="s">
        <v>4</v>
      </c>
      <c r="C20" s="12" t="s">
        <v>45</v>
      </c>
      <c r="D20" s="16" t="s">
        <v>13</v>
      </c>
      <c r="E20" s="12" t="s">
        <v>83</v>
      </c>
      <c r="F20" s="12" t="s">
        <v>47</v>
      </c>
      <c r="G20" s="12" t="s">
        <v>84</v>
      </c>
    </row>
    <row r="21" spans="1:7" x14ac:dyDescent="0.25">
      <c r="A21" s="12" t="s">
        <v>85</v>
      </c>
      <c r="B21" s="12" t="s">
        <v>4</v>
      </c>
      <c r="C21" s="12" t="s">
        <v>45</v>
      </c>
      <c r="D21" s="16" t="s">
        <v>13</v>
      </c>
      <c r="E21" s="12" t="s">
        <v>86</v>
      </c>
      <c r="F21" s="12" t="s">
        <v>47</v>
      </c>
      <c r="G21" s="12" t="s">
        <v>79</v>
      </c>
    </row>
    <row r="22" spans="1:7" x14ac:dyDescent="0.25">
      <c r="A22" s="12" t="s">
        <v>87</v>
      </c>
      <c r="B22" s="12" t="s">
        <v>4</v>
      </c>
      <c r="C22" s="12" t="s">
        <v>45</v>
      </c>
      <c r="D22" s="17" t="s">
        <v>12</v>
      </c>
      <c r="E22" s="12" t="s">
        <v>88</v>
      </c>
      <c r="F22" s="12" t="s">
        <v>47</v>
      </c>
      <c r="G22" s="12" t="s">
        <v>51</v>
      </c>
    </row>
    <row r="23" spans="1:7" x14ac:dyDescent="0.25">
      <c r="A23" s="12" t="s">
        <v>89</v>
      </c>
      <c r="B23" s="12" t="s">
        <v>4</v>
      </c>
      <c r="C23" s="12" t="s">
        <v>45</v>
      </c>
      <c r="D23" s="17" t="s">
        <v>12</v>
      </c>
      <c r="E23" s="12" t="s">
        <v>53</v>
      </c>
      <c r="F23" s="12" t="s">
        <v>47</v>
      </c>
      <c r="G23" s="12" t="s">
        <v>51</v>
      </c>
    </row>
    <row r="24" spans="1:7" x14ac:dyDescent="0.25">
      <c r="A24" s="12" t="s">
        <v>90</v>
      </c>
      <c r="B24" s="12" t="s">
        <v>4</v>
      </c>
      <c r="C24" s="12" t="s">
        <v>45</v>
      </c>
      <c r="D24" s="16" t="s">
        <v>13</v>
      </c>
      <c r="E24" s="12" t="s">
        <v>74</v>
      </c>
      <c r="F24" s="12" t="s">
        <v>47</v>
      </c>
      <c r="G24" s="12" t="s">
        <v>79</v>
      </c>
    </row>
    <row r="25" spans="1:7" x14ac:dyDescent="0.25">
      <c r="A25" s="12" t="s">
        <v>91</v>
      </c>
      <c r="B25" s="12" t="s">
        <v>4</v>
      </c>
      <c r="C25" s="12" t="s">
        <v>45</v>
      </c>
      <c r="D25" s="17" t="s">
        <v>12</v>
      </c>
      <c r="E25" s="12" t="s">
        <v>88</v>
      </c>
      <c r="F25" s="12" t="s">
        <v>47</v>
      </c>
      <c r="G25" s="12" t="s">
        <v>51</v>
      </c>
    </row>
    <row r="26" spans="1:7" x14ac:dyDescent="0.25">
      <c r="A26" s="12" t="s">
        <v>92</v>
      </c>
      <c r="B26" s="12" t="s">
        <v>4</v>
      </c>
      <c r="C26" s="12" t="s">
        <v>45</v>
      </c>
      <c r="D26" s="17" t="s">
        <v>12</v>
      </c>
      <c r="E26" s="12" t="s">
        <v>93</v>
      </c>
      <c r="F26" s="12" t="s">
        <v>47</v>
      </c>
      <c r="G26" s="12" t="s">
        <v>51</v>
      </c>
    </row>
    <row r="27" spans="1:7" x14ac:dyDescent="0.25">
      <c r="A27" s="12" t="s">
        <v>94</v>
      </c>
      <c r="B27" s="12" t="s">
        <v>4</v>
      </c>
      <c r="C27" s="12" t="s">
        <v>45</v>
      </c>
      <c r="D27" s="16" t="s">
        <v>13</v>
      </c>
      <c r="E27" s="12" t="s">
        <v>74</v>
      </c>
      <c r="F27" s="12" t="s">
        <v>47</v>
      </c>
      <c r="G27" s="12" t="s">
        <v>79</v>
      </c>
    </row>
    <row r="28" spans="1:7" x14ac:dyDescent="0.25">
      <c r="A28" s="12" t="s">
        <v>95</v>
      </c>
      <c r="B28" s="12" t="s">
        <v>4</v>
      </c>
      <c r="C28" s="12" t="s">
        <v>45</v>
      </c>
      <c r="D28" s="17" t="s">
        <v>12</v>
      </c>
      <c r="E28" s="12" t="s">
        <v>96</v>
      </c>
      <c r="F28" s="12" t="s">
        <v>47</v>
      </c>
      <c r="G28" s="12" t="s">
        <v>51</v>
      </c>
    </row>
    <row r="29" spans="1:7" x14ac:dyDescent="0.25">
      <c r="A29" s="12" t="s">
        <v>97</v>
      </c>
      <c r="B29" s="12" t="s">
        <v>4</v>
      </c>
      <c r="C29" s="12" t="s">
        <v>45</v>
      </c>
      <c r="D29" s="17" t="s">
        <v>12</v>
      </c>
      <c r="E29" s="12" t="s">
        <v>98</v>
      </c>
      <c r="F29" s="12" t="s">
        <v>47</v>
      </c>
      <c r="G29" s="12" t="s">
        <v>51</v>
      </c>
    </row>
    <row r="30" spans="1:7" x14ac:dyDescent="0.25">
      <c r="A30" s="12" t="s">
        <v>99</v>
      </c>
      <c r="B30" s="12" t="s">
        <v>4</v>
      </c>
      <c r="C30" s="12" t="s">
        <v>45</v>
      </c>
      <c r="D30" s="17" t="s">
        <v>12</v>
      </c>
      <c r="E30" s="12" t="s">
        <v>100</v>
      </c>
      <c r="F30" s="12" t="s">
        <v>47</v>
      </c>
      <c r="G30" s="12" t="s">
        <v>51</v>
      </c>
    </row>
    <row r="31" spans="1:7" x14ac:dyDescent="0.25">
      <c r="A31" s="12" t="s">
        <v>101</v>
      </c>
      <c r="B31" s="12" t="s">
        <v>4</v>
      </c>
      <c r="C31" s="12" t="s">
        <v>45</v>
      </c>
      <c r="D31" s="17" t="s">
        <v>12</v>
      </c>
      <c r="E31" s="12" t="s">
        <v>102</v>
      </c>
      <c r="F31" s="12" t="s">
        <v>47</v>
      </c>
      <c r="G31" s="12" t="s">
        <v>51</v>
      </c>
    </row>
    <row r="32" spans="1:7" x14ac:dyDescent="0.25">
      <c r="A32" s="12" t="s">
        <v>103</v>
      </c>
      <c r="B32" s="12" t="s">
        <v>4</v>
      </c>
      <c r="C32" s="12" t="s">
        <v>45</v>
      </c>
      <c r="D32" s="17" t="s">
        <v>12</v>
      </c>
      <c r="E32" s="12" t="s">
        <v>102</v>
      </c>
      <c r="F32" s="12" t="s">
        <v>47</v>
      </c>
      <c r="G32" s="12" t="s">
        <v>51</v>
      </c>
    </row>
    <row r="33" spans="1:7" x14ac:dyDescent="0.25">
      <c r="A33" s="12" t="s">
        <v>104</v>
      </c>
      <c r="B33" s="12" t="s">
        <v>4</v>
      </c>
      <c r="C33" s="12" t="s">
        <v>45</v>
      </c>
      <c r="D33" s="17" t="s">
        <v>12</v>
      </c>
      <c r="E33" s="12" t="s">
        <v>93</v>
      </c>
      <c r="F33" s="12" t="s">
        <v>47</v>
      </c>
      <c r="G33" s="12" t="s">
        <v>51</v>
      </c>
    </row>
    <row r="34" spans="1:7" x14ac:dyDescent="0.25">
      <c r="A34" s="12" t="s">
        <v>105</v>
      </c>
      <c r="B34" s="12" t="s">
        <v>4</v>
      </c>
      <c r="C34" s="12" t="s">
        <v>45</v>
      </c>
      <c r="D34" s="16" t="s">
        <v>13</v>
      </c>
      <c r="E34" s="12" t="s">
        <v>106</v>
      </c>
      <c r="F34" s="12" t="s">
        <v>47</v>
      </c>
      <c r="G34" s="12" t="s">
        <v>55</v>
      </c>
    </row>
    <row r="35" spans="1:7" x14ac:dyDescent="0.25">
      <c r="A35" s="12" t="s">
        <v>107</v>
      </c>
      <c r="B35" s="12" t="s">
        <v>4</v>
      </c>
      <c r="C35" s="12" t="s">
        <v>45</v>
      </c>
      <c r="D35" s="17" t="s">
        <v>12</v>
      </c>
      <c r="E35" s="12" t="s">
        <v>108</v>
      </c>
      <c r="F35" s="12" t="s">
        <v>47</v>
      </c>
      <c r="G35" s="12" t="s">
        <v>51</v>
      </c>
    </row>
    <row r="36" spans="1:7" x14ac:dyDescent="0.25">
      <c r="A36" s="12" t="s">
        <v>109</v>
      </c>
      <c r="B36" s="12" t="s">
        <v>4</v>
      </c>
      <c r="C36" s="12" t="s">
        <v>45</v>
      </c>
      <c r="D36" s="17" t="s">
        <v>12</v>
      </c>
      <c r="E36" s="12" t="s">
        <v>100</v>
      </c>
      <c r="F36" s="12" t="s">
        <v>47</v>
      </c>
      <c r="G36" s="12" t="s">
        <v>51</v>
      </c>
    </row>
    <row r="37" spans="1:7" x14ac:dyDescent="0.25">
      <c r="A37" s="12" t="s">
        <v>110</v>
      </c>
      <c r="B37" s="12" t="s">
        <v>4</v>
      </c>
      <c r="C37" s="12" t="s">
        <v>45</v>
      </c>
      <c r="D37" s="16" t="s">
        <v>13</v>
      </c>
      <c r="E37" s="12" t="s">
        <v>78</v>
      </c>
      <c r="F37" s="12" t="s">
        <v>47</v>
      </c>
      <c r="G37" s="12" t="s">
        <v>111</v>
      </c>
    </row>
    <row r="38" spans="1:7" x14ac:dyDescent="0.25">
      <c r="A38" s="12" t="s">
        <v>112</v>
      </c>
      <c r="B38" s="12" t="s">
        <v>4</v>
      </c>
      <c r="C38" s="12" t="s">
        <v>45</v>
      </c>
      <c r="D38" s="17" t="s">
        <v>12</v>
      </c>
      <c r="E38" s="12" t="s">
        <v>53</v>
      </c>
      <c r="F38" s="12" t="s">
        <v>47</v>
      </c>
      <c r="G38" s="12" t="s">
        <v>51</v>
      </c>
    </row>
    <row r="39" spans="1:7" x14ac:dyDescent="0.25">
      <c r="A39" s="12" t="s">
        <v>113</v>
      </c>
      <c r="B39" s="12" t="s">
        <v>4</v>
      </c>
      <c r="C39" s="12" t="s">
        <v>45</v>
      </c>
      <c r="D39" s="17" t="s">
        <v>12</v>
      </c>
      <c r="E39" s="12" t="s">
        <v>114</v>
      </c>
      <c r="F39" s="12" t="s">
        <v>47</v>
      </c>
      <c r="G39" s="12" t="s">
        <v>51</v>
      </c>
    </row>
    <row r="40" spans="1:7" x14ac:dyDescent="0.25">
      <c r="A40" s="12" t="s">
        <v>115</v>
      </c>
      <c r="B40" s="12" t="s">
        <v>4</v>
      </c>
      <c r="C40" s="12" t="s">
        <v>45</v>
      </c>
      <c r="D40" s="17" t="s">
        <v>12</v>
      </c>
      <c r="E40" s="12" t="s">
        <v>76</v>
      </c>
      <c r="F40" s="12" t="s">
        <v>47</v>
      </c>
      <c r="G40" s="12" t="s">
        <v>51</v>
      </c>
    </row>
    <row r="41" spans="1:7" x14ac:dyDescent="0.25">
      <c r="A41" s="12" t="s">
        <v>116</v>
      </c>
      <c r="B41" s="12" t="s">
        <v>4</v>
      </c>
      <c r="C41" s="12" t="s">
        <v>45</v>
      </c>
      <c r="D41" s="17" t="s">
        <v>12</v>
      </c>
      <c r="E41" s="12" t="s">
        <v>108</v>
      </c>
      <c r="F41" s="12" t="s">
        <v>47</v>
      </c>
      <c r="G41" s="12" t="s">
        <v>51</v>
      </c>
    </row>
    <row r="42" spans="1:7" x14ac:dyDescent="0.25">
      <c r="A42" s="12" t="s">
        <v>117</v>
      </c>
      <c r="B42" s="12" t="s">
        <v>4</v>
      </c>
      <c r="C42" s="12" t="s">
        <v>45</v>
      </c>
      <c r="D42" s="17" t="s">
        <v>12</v>
      </c>
      <c r="E42" s="12" t="s">
        <v>114</v>
      </c>
      <c r="F42" s="12" t="s">
        <v>47</v>
      </c>
      <c r="G42" s="12" t="s">
        <v>51</v>
      </c>
    </row>
    <row r="43" spans="1:7" x14ac:dyDescent="0.25">
      <c r="A43" s="12" t="s">
        <v>118</v>
      </c>
      <c r="B43" s="12" t="s">
        <v>4</v>
      </c>
      <c r="C43" s="12" t="s">
        <v>45</v>
      </c>
      <c r="D43" s="17" t="s">
        <v>12</v>
      </c>
      <c r="E43" s="12" t="s">
        <v>119</v>
      </c>
      <c r="F43" s="12" t="s">
        <v>47</v>
      </c>
      <c r="G43" s="12" t="s">
        <v>51</v>
      </c>
    </row>
    <row r="44" spans="1:7" x14ac:dyDescent="0.25">
      <c r="A44" s="12" t="s">
        <v>120</v>
      </c>
      <c r="B44" s="12" t="s">
        <v>4</v>
      </c>
      <c r="C44" s="12" t="s">
        <v>45</v>
      </c>
      <c r="D44" s="16" t="s">
        <v>13</v>
      </c>
      <c r="E44" s="12" t="s">
        <v>121</v>
      </c>
      <c r="F44" s="12" t="s">
        <v>47</v>
      </c>
      <c r="G44" s="12" t="s">
        <v>122</v>
      </c>
    </row>
    <row r="45" spans="1:7" x14ac:dyDescent="0.25">
      <c r="A45" s="12" t="s">
        <v>123</v>
      </c>
      <c r="B45" s="12" t="s">
        <v>4</v>
      </c>
      <c r="C45" s="12" t="s">
        <v>45</v>
      </c>
      <c r="D45" s="17" t="s">
        <v>12</v>
      </c>
      <c r="E45" s="12" t="s">
        <v>96</v>
      </c>
      <c r="F45" s="12" t="s">
        <v>47</v>
      </c>
      <c r="G45" s="12" t="s">
        <v>51</v>
      </c>
    </row>
    <row r="46" spans="1:7" x14ac:dyDescent="0.25">
      <c r="A46" s="12" t="s">
        <v>124</v>
      </c>
      <c r="B46" s="12" t="s">
        <v>4</v>
      </c>
      <c r="C46" s="12" t="s">
        <v>45</v>
      </c>
      <c r="D46" s="17" t="s">
        <v>12</v>
      </c>
      <c r="E46" s="12" t="s">
        <v>93</v>
      </c>
      <c r="F46" s="12" t="s">
        <v>47</v>
      </c>
      <c r="G46" s="12" t="s">
        <v>51</v>
      </c>
    </row>
    <row r="47" spans="1:7" x14ac:dyDescent="0.25">
      <c r="A47" s="12" t="s">
        <v>125</v>
      </c>
      <c r="B47" s="12" t="s">
        <v>4</v>
      </c>
      <c r="C47" s="12" t="s">
        <v>45</v>
      </c>
      <c r="D47" s="16" t="s">
        <v>13</v>
      </c>
      <c r="E47" s="12" t="s">
        <v>46</v>
      </c>
      <c r="F47" s="12" t="s">
        <v>47</v>
      </c>
      <c r="G47" s="12" t="s">
        <v>55</v>
      </c>
    </row>
    <row r="48" spans="1:7" x14ac:dyDescent="0.25">
      <c r="A48" s="12" t="s">
        <v>126</v>
      </c>
      <c r="B48" s="12" t="s">
        <v>4</v>
      </c>
      <c r="C48" s="12" t="s">
        <v>45</v>
      </c>
      <c r="D48" s="16" t="s">
        <v>13</v>
      </c>
      <c r="E48" s="12" t="s">
        <v>46</v>
      </c>
      <c r="F48" s="12" t="s">
        <v>47</v>
      </c>
      <c r="G48" s="12" t="s">
        <v>55</v>
      </c>
    </row>
    <row r="49" spans="1:7" x14ac:dyDescent="0.25">
      <c r="A49" s="12" t="s">
        <v>127</v>
      </c>
      <c r="B49" s="12" t="s">
        <v>4</v>
      </c>
      <c r="C49" s="12" t="s">
        <v>45</v>
      </c>
      <c r="D49" s="17" t="s">
        <v>12</v>
      </c>
      <c r="E49" s="12" t="s">
        <v>76</v>
      </c>
      <c r="F49" s="12" t="s">
        <v>47</v>
      </c>
      <c r="G49" s="12" t="s">
        <v>51</v>
      </c>
    </row>
    <row r="50" spans="1:7" x14ac:dyDescent="0.25">
      <c r="A50" s="12" t="s">
        <v>128</v>
      </c>
      <c r="B50" s="12" t="s">
        <v>4</v>
      </c>
      <c r="C50" s="12" t="s">
        <v>45</v>
      </c>
      <c r="D50" s="17" t="s">
        <v>12</v>
      </c>
      <c r="E50" s="12" t="s">
        <v>93</v>
      </c>
      <c r="F50" s="12" t="s">
        <v>47</v>
      </c>
      <c r="G50" s="12" t="s">
        <v>51</v>
      </c>
    </row>
    <row r="51" spans="1:7" x14ac:dyDescent="0.25">
      <c r="A51" s="12" t="s">
        <v>129</v>
      </c>
      <c r="B51" s="12" t="s">
        <v>4</v>
      </c>
      <c r="C51" s="12" t="s">
        <v>45</v>
      </c>
      <c r="D51" s="17" t="s">
        <v>12</v>
      </c>
      <c r="E51" s="12" t="s">
        <v>88</v>
      </c>
      <c r="F51" s="12" t="s">
        <v>47</v>
      </c>
      <c r="G51" s="12" t="s">
        <v>51</v>
      </c>
    </row>
    <row r="52" spans="1:7" x14ac:dyDescent="0.25">
      <c r="A52" s="12" t="s">
        <v>130</v>
      </c>
      <c r="B52" s="12" t="s">
        <v>4</v>
      </c>
      <c r="C52" s="12" t="s">
        <v>45</v>
      </c>
      <c r="D52" s="17" t="s">
        <v>12</v>
      </c>
      <c r="E52" s="12" t="s">
        <v>102</v>
      </c>
      <c r="F52" s="12" t="s">
        <v>47</v>
      </c>
      <c r="G52" s="12" t="s">
        <v>51</v>
      </c>
    </row>
    <row r="53" spans="1:7" x14ac:dyDescent="0.25">
      <c r="A53" s="12" t="s">
        <v>131</v>
      </c>
      <c r="B53" s="12" t="s">
        <v>4</v>
      </c>
      <c r="C53" s="12" t="s">
        <v>45</v>
      </c>
      <c r="D53" s="16" t="s">
        <v>13</v>
      </c>
      <c r="E53" s="12" t="s">
        <v>46</v>
      </c>
      <c r="F53" s="12" t="s">
        <v>47</v>
      </c>
      <c r="G53" s="12" t="s">
        <v>55</v>
      </c>
    </row>
    <row r="54" spans="1:7" x14ac:dyDescent="0.25">
      <c r="A54" s="12" t="s">
        <v>132</v>
      </c>
      <c r="B54" s="12" t="s">
        <v>4</v>
      </c>
      <c r="C54" s="12" t="s">
        <v>45</v>
      </c>
      <c r="D54" s="17" t="s">
        <v>12</v>
      </c>
      <c r="E54" s="12" t="s">
        <v>62</v>
      </c>
      <c r="F54" s="12" t="s">
        <v>47</v>
      </c>
      <c r="G54" s="12" t="s">
        <v>51</v>
      </c>
    </row>
    <row r="55" spans="1:7" x14ac:dyDescent="0.25">
      <c r="A55" s="12" t="s">
        <v>133</v>
      </c>
      <c r="B55" s="12" t="s">
        <v>4</v>
      </c>
      <c r="C55" s="12" t="s">
        <v>45</v>
      </c>
      <c r="D55" s="17" t="s">
        <v>12</v>
      </c>
      <c r="E55" s="12" t="s">
        <v>114</v>
      </c>
      <c r="F55" s="12" t="s">
        <v>47</v>
      </c>
      <c r="G55" s="12" t="s">
        <v>51</v>
      </c>
    </row>
    <row r="56" spans="1:7" x14ac:dyDescent="0.25">
      <c r="A56" s="12" t="s">
        <v>134</v>
      </c>
      <c r="B56" s="12" t="s">
        <v>4</v>
      </c>
      <c r="C56" s="12" t="s">
        <v>45</v>
      </c>
      <c r="D56" s="16" t="s">
        <v>13</v>
      </c>
      <c r="E56" s="12" t="s">
        <v>46</v>
      </c>
      <c r="F56" s="12" t="s">
        <v>47</v>
      </c>
      <c r="G56" s="12" t="s">
        <v>55</v>
      </c>
    </row>
    <row r="57" spans="1:7" x14ac:dyDescent="0.25">
      <c r="A57" s="12" t="s">
        <v>135</v>
      </c>
      <c r="B57" s="12" t="s">
        <v>4</v>
      </c>
      <c r="C57" s="12" t="s">
        <v>45</v>
      </c>
      <c r="D57" s="16" t="s">
        <v>13</v>
      </c>
      <c r="E57" s="12" t="s">
        <v>46</v>
      </c>
      <c r="F57" s="12" t="s">
        <v>47</v>
      </c>
      <c r="G57" s="12" t="s">
        <v>55</v>
      </c>
    </row>
    <row r="58" spans="1:7" x14ac:dyDescent="0.25">
      <c r="A58" s="12" t="s">
        <v>136</v>
      </c>
      <c r="B58" s="12" t="s">
        <v>4</v>
      </c>
      <c r="C58" s="12" t="s">
        <v>45</v>
      </c>
      <c r="D58" s="16" t="s">
        <v>13</v>
      </c>
      <c r="E58" s="12" t="s">
        <v>137</v>
      </c>
      <c r="F58" s="12" t="s">
        <v>47</v>
      </c>
      <c r="G58" s="12" t="s">
        <v>72</v>
      </c>
    </row>
    <row r="59" spans="1:7" x14ac:dyDescent="0.25">
      <c r="A59" s="12" t="s">
        <v>138</v>
      </c>
      <c r="B59" s="12" t="s">
        <v>4</v>
      </c>
      <c r="C59" s="12" t="s">
        <v>45</v>
      </c>
      <c r="D59" s="16" t="s">
        <v>13</v>
      </c>
      <c r="E59" s="12" t="s">
        <v>139</v>
      </c>
      <c r="F59" s="12" t="s">
        <v>47</v>
      </c>
      <c r="G59" s="12" t="s">
        <v>72</v>
      </c>
    </row>
    <row r="60" spans="1:7" x14ac:dyDescent="0.25">
      <c r="A60" s="12" t="s">
        <v>140</v>
      </c>
      <c r="B60" s="12" t="s">
        <v>4</v>
      </c>
      <c r="C60" s="12" t="s">
        <v>45</v>
      </c>
      <c r="D60" s="17" t="s">
        <v>12</v>
      </c>
      <c r="E60" s="12" t="s">
        <v>88</v>
      </c>
      <c r="F60" s="12" t="s">
        <v>47</v>
      </c>
      <c r="G60" s="12" t="s">
        <v>51</v>
      </c>
    </row>
    <row r="61" spans="1:7" x14ac:dyDescent="0.25">
      <c r="A61" s="12" t="s">
        <v>141</v>
      </c>
      <c r="B61" s="12" t="s">
        <v>4</v>
      </c>
      <c r="C61" s="12" t="s">
        <v>45</v>
      </c>
      <c r="D61" s="17" t="s">
        <v>12</v>
      </c>
      <c r="E61" s="12" t="s">
        <v>88</v>
      </c>
      <c r="F61" s="12" t="s">
        <v>47</v>
      </c>
      <c r="G61" s="12" t="s">
        <v>51</v>
      </c>
    </row>
    <row r="62" spans="1:7" x14ac:dyDescent="0.25">
      <c r="A62" s="12" t="s">
        <v>142</v>
      </c>
      <c r="B62" s="12" t="s">
        <v>4</v>
      </c>
      <c r="C62" s="12" t="s">
        <v>45</v>
      </c>
      <c r="D62" s="16" t="s">
        <v>13</v>
      </c>
      <c r="E62" s="12" t="s">
        <v>81</v>
      </c>
      <c r="F62" s="12" t="s">
        <v>47</v>
      </c>
      <c r="G62" s="12" t="s">
        <v>143</v>
      </c>
    </row>
    <row r="63" spans="1:7" x14ac:dyDescent="0.25">
      <c r="A63" s="12" t="s">
        <v>144</v>
      </c>
      <c r="B63" s="12" t="s">
        <v>4</v>
      </c>
      <c r="C63" s="12" t="s">
        <v>45</v>
      </c>
      <c r="D63" s="17" t="s">
        <v>12</v>
      </c>
      <c r="E63" s="12" t="s">
        <v>62</v>
      </c>
      <c r="F63" s="12" t="s">
        <v>47</v>
      </c>
      <c r="G63" s="12" t="s">
        <v>51</v>
      </c>
    </row>
    <row r="64" spans="1:7" x14ac:dyDescent="0.25">
      <c r="A64" s="12" t="s">
        <v>145</v>
      </c>
      <c r="B64" s="12" t="s">
        <v>4</v>
      </c>
      <c r="C64" s="12" t="s">
        <v>45</v>
      </c>
      <c r="D64" s="17" t="s">
        <v>12</v>
      </c>
      <c r="E64" s="12" t="s">
        <v>53</v>
      </c>
      <c r="F64" s="12" t="s">
        <v>47</v>
      </c>
      <c r="G64" s="12" t="s">
        <v>51</v>
      </c>
    </row>
    <row r="65" spans="1:7" x14ac:dyDescent="0.25">
      <c r="A65" s="12" t="s">
        <v>146</v>
      </c>
      <c r="B65" s="12" t="s">
        <v>4</v>
      </c>
      <c r="C65" s="12" t="s">
        <v>45</v>
      </c>
      <c r="D65" s="17" t="s">
        <v>12</v>
      </c>
      <c r="E65" s="12" t="s">
        <v>119</v>
      </c>
      <c r="F65" s="12" t="s">
        <v>47</v>
      </c>
      <c r="G65" s="12" t="s">
        <v>51</v>
      </c>
    </row>
    <row r="66" spans="1:7" x14ac:dyDescent="0.25">
      <c r="A66" s="12" t="s">
        <v>147</v>
      </c>
      <c r="B66" s="12" t="s">
        <v>4</v>
      </c>
      <c r="C66" s="12" t="s">
        <v>45</v>
      </c>
      <c r="D66" s="17" t="s">
        <v>12</v>
      </c>
      <c r="E66" s="12" t="s">
        <v>81</v>
      </c>
      <c r="F66" s="12" t="s">
        <v>47</v>
      </c>
      <c r="G66" s="12" t="s">
        <v>51</v>
      </c>
    </row>
    <row r="67" spans="1:7" x14ac:dyDescent="0.25">
      <c r="A67" s="12" t="s">
        <v>148</v>
      </c>
      <c r="B67" s="12" t="s">
        <v>4</v>
      </c>
      <c r="C67" s="12" t="s">
        <v>45</v>
      </c>
      <c r="D67" s="17" t="s">
        <v>12</v>
      </c>
      <c r="E67" s="12" t="s">
        <v>76</v>
      </c>
      <c r="F67" s="12" t="s">
        <v>47</v>
      </c>
      <c r="G67" s="12" t="s">
        <v>51</v>
      </c>
    </row>
    <row r="68" spans="1:7" x14ac:dyDescent="0.25">
      <c r="A68" s="12" t="s">
        <v>149</v>
      </c>
      <c r="B68" s="12" t="s">
        <v>4</v>
      </c>
      <c r="C68" s="12" t="s">
        <v>45</v>
      </c>
      <c r="D68" s="17" t="s">
        <v>12</v>
      </c>
      <c r="E68" s="12" t="s">
        <v>150</v>
      </c>
      <c r="F68" s="12" t="s">
        <v>47</v>
      </c>
      <c r="G68" s="12" t="s">
        <v>51</v>
      </c>
    </row>
    <row r="69" spans="1:7" x14ac:dyDescent="0.25">
      <c r="A69" s="12" t="s">
        <v>151</v>
      </c>
      <c r="B69" s="12" t="s">
        <v>4</v>
      </c>
      <c r="C69" s="12" t="s">
        <v>45</v>
      </c>
      <c r="D69" s="17" t="s">
        <v>12</v>
      </c>
      <c r="E69" s="12" t="s">
        <v>81</v>
      </c>
      <c r="F69" s="12" t="s">
        <v>47</v>
      </c>
      <c r="G69" s="12" t="s">
        <v>51</v>
      </c>
    </row>
    <row r="70" spans="1:7" x14ac:dyDescent="0.25">
      <c r="A70" s="12" t="s">
        <v>152</v>
      </c>
      <c r="B70" s="12" t="s">
        <v>4</v>
      </c>
      <c r="C70" s="12" t="s">
        <v>45</v>
      </c>
      <c r="D70" s="17" t="s">
        <v>12</v>
      </c>
      <c r="E70" s="12" t="s">
        <v>150</v>
      </c>
      <c r="F70" s="12" t="s">
        <v>47</v>
      </c>
      <c r="G70" s="12" t="s">
        <v>51</v>
      </c>
    </row>
    <row r="71" spans="1:7" x14ac:dyDescent="0.25">
      <c r="A71" s="12" t="s">
        <v>153</v>
      </c>
      <c r="B71" s="12" t="s">
        <v>4</v>
      </c>
      <c r="C71" s="12" t="s">
        <v>45</v>
      </c>
      <c r="D71" s="16" t="s">
        <v>13</v>
      </c>
      <c r="E71" s="12" t="s">
        <v>154</v>
      </c>
      <c r="F71" s="12" t="s">
        <v>47</v>
      </c>
      <c r="G71" s="12" t="s">
        <v>66</v>
      </c>
    </row>
    <row r="72" spans="1:7" x14ac:dyDescent="0.25">
      <c r="A72" s="12" t="s">
        <v>155</v>
      </c>
      <c r="B72" s="12" t="s">
        <v>4</v>
      </c>
      <c r="C72" s="12" t="s">
        <v>45</v>
      </c>
      <c r="D72" s="17" t="s">
        <v>12</v>
      </c>
      <c r="E72" s="12" t="s">
        <v>102</v>
      </c>
      <c r="F72" s="12" t="s">
        <v>47</v>
      </c>
      <c r="G72" s="12" t="s">
        <v>51</v>
      </c>
    </row>
    <row r="73" spans="1:7" x14ac:dyDescent="0.25">
      <c r="A73" s="12" t="s">
        <v>156</v>
      </c>
      <c r="B73" s="12" t="s">
        <v>4</v>
      </c>
      <c r="C73" s="12" t="s">
        <v>45</v>
      </c>
      <c r="D73" s="16" t="s">
        <v>13</v>
      </c>
      <c r="E73" s="12" t="s">
        <v>157</v>
      </c>
      <c r="F73" s="12" t="s">
        <v>47</v>
      </c>
      <c r="G73" s="12" t="s">
        <v>66</v>
      </c>
    </row>
    <row r="74" spans="1:7" x14ac:dyDescent="0.25">
      <c r="A74" s="12" t="s">
        <v>158</v>
      </c>
      <c r="B74" s="12" t="s">
        <v>4</v>
      </c>
      <c r="C74" s="12" t="s">
        <v>45</v>
      </c>
      <c r="D74" s="16" t="s">
        <v>13</v>
      </c>
      <c r="E74" s="12" t="s">
        <v>159</v>
      </c>
      <c r="F74" s="12" t="s">
        <v>47</v>
      </c>
      <c r="G74" s="12" t="s">
        <v>72</v>
      </c>
    </row>
    <row r="75" spans="1:7" x14ac:dyDescent="0.25">
      <c r="A75" s="12" t="s">
        <v>160</v>
      </c>
      <c r="B75" s="12" t="s">
        <v>4</v>
      </c>
      <c r="C75" s="12" t="s">
        <v>45</v>
      </c>
      <c r="D75" s="16" t="s">
        <v>13</v>
      </c>
      <c r="E75" s="12" t="s">
        <v>157</v>
      </c>
      <c r="F75" s="12" t="s">
        <v>47</v>
      </c>
      <c r="G75" s="12" t="s">
        <v>72</v>
      </c>
    </row>
    <row r="76" spans="1:7" x14ac:dyDescent="0.25">
      <c r="A76" s="12" t="s">
        <v>161</v>
      </c>
      <c r="B76" s="12" t="s">
        <v>4</v>
      </c>
      <c r="C76" s="12" t="s">
        <v>45</v>
      </c>
      <c r="D76" s="17" t="s">
        <v>12</v>
      </c>
      <c r="E76" s="12" t="s">
        <v>81</v>
      </c>
      <c r="F76" s="12" t="s">
        <v>47</v>
      </c>
      <c r="G76" s="12" t="s">
        <v>51</v>
      </c>
    </row>
    <row r="77" spans="1:7" x14ac:dyDescent="0.25">
      <c r="A77" s="12" t="s">
        <v>162</v>
      </c>
      <c r="B77" s="12" t="s">
        <v>4</v>
      </c>
      <c r="C77" s="12" t="s">
        <v>45</v>
      </c>
      <c r="D77" s="17" t="s">
        <v>12</v>
      </c>
      <c r="E77" s="12" t="s">
        <v>62</v>
      </c>
      <c r="F77" s="12" t="s">
        <v>47</v>
      </c>
      <c r="G77" s="12" t="s">
        <v>51</v>
      </c>
    </row>
    <row r="78" spans="1:7" x14ac:dyDescent="0.25">
      <c r="A78" s="12" t="s">
        <v>163</v>
      </c>
      <c r="B78" s="12" t="s">
        <v>4</v>
      </c>
      <c r="C78" s="12" t="s">
        <v>45</v>
      </c>
      <c r="D78" s="17" t="s">
        <v>12</v>
      </c>
      <c r="E78" s="12" t="s">
        <v>96</v>
      </c>
      <c r="F78" s="12" t="s">
        <v>47</v>
      </c>
      <c r="G78" s="12" t="s">
        <v>51</v>
      </c>
    </row>
    <row r="79" spans="1:7" x14ac:dyDescent="0.25">
      <c r="A79" s="12" t="s">
        <v>164</v>
      </c>
      <c r="B79" s="12" t="s">
        <v>4</v>
      </c>
      <c r="C79" s="12" t="s">
        <v>45</v>
      </c>
      <c r="D79" s="16" t="s">
        <v>13</v>
      </c>
      <c r="E79" s="12" t="s">
        <v>157</v>
      </c>
      <c r="F79" s="12" t="s">
        <v>47</v>
      </c>
      <c r="G79" s="12" t="s">
        <v>66</v>
      </c>
    </row>
    <row r="80" spans="1:7" x14ac:dyDescent="0.25">
      <c r="A80" s="12" t="s">
        <v>165</v>
      </c>
      <c r="B80" s="12" t="s">
        <v>4</v>
      </c>
      <c r="C80" s="12" t="s">
        <v>45</v>
      </c>
      <c r="D80" s="16" t="s">
        <v>13</v>
      </c>
      <c r="E80" s="12" t="s">
        <v>96</v>
      </c>
      <c r="F80" s="12" t="s">
        <v>47</v>
      </c>
      <c r="G80" s="12" t="s">
        <v>166</v>
      </c>
    </row>
    <row r="81" spans="1:7" x14ac:dyDescent="0.25">
      <c r="A81" s="12" t="s">
        <v>167</v>
      </c>
      <c r="B81" s="12" t="s">
        <v>4</v>
      </c>
      <c r="C81" s="12" t="s">
        <v>45</v>
      </c>
      <c r="D81" s="16" t="s">
        <v>13</v>
      </c>
      <c r="E81" s="12" t="s">
        <v>100</v>
      </c>
      <c r="F81" s="12" t="s">
        <v>47</v>
      </c>
      <c r="G81" s="12" t="s">
        <v>166</v>
      </c>
    </row>
    <row r="82" spans="1:7" x14ac:dyDescent="0.25">
      <c r="A82" s="12" t="s">
        <v>168</v>
      </c>
      <c r="B82" s="12" t="s">
        <v>4</v>
      </c>
      <c r="C82" s="12" t="s">
        <v>45</v>
      </c>
      <c r="D82" s="17" t="s">
        <v>12</v>
      </c>
      <c r="E82" s="12" t="s">
        <v>81</v>
      </c>
      <c r="F82" s="12" t="s">
        <v>47</v>
      </c>
      <c r="G82" s="12" t="s">
        <v>51</v>
      </c>
    </row>
    <row r="83" spans="1:7" x14ac:dyDescent="0.25">
      <c r="A83" s="12" t="s">
        <v>169</v>
      </c>
      <c r="B83" s="12" t="s">
        <v>4</v>
      </c>
      <c r="C83" s="12" t="s">
        <v>45</v>
      </c>
      <c r="D83" s="17" t="s">
        <v>12</v>
      </c>
      <c r="E83" s="12" t="s">
        <v>150</v>
      </c>
      <c r="F83" s="12" t="s">
        <v>47</v>
      </c>
      <c r="G83" s="12" t="s">
        <v>51</v>
      </c>
    </row>
    <row r="84" spans="1:7" x14ac:dyDescent="0.25">
      <c r="A84" s="12" t="s">
        <v>170</v>
      </c>
      <c r="B84" s="12" t="s">
        <v>4</v>
      </c>
      <c r="C84" s="12" t="s">
        <v>45</v>
      </c>
      <c r="D84" s="16" t="s">
        <v>13</v>
      </c>
      <c r="E84" s="12" t="s">
        <v>154</v>
      </c>
      <c r="F84" s="12" t="s">
        <v>47</v>
      </c>
      <c r="G84" s="12" t="s">
        <v>66</v>
      </c>
    </row>
    <row r="85" spans="1:7" x14ac:dyDescent="0.25">
      <c r="A85" s="12" t="s">
        <v>171</v>
      </c>
      <c r="B85" s="12" t="s">
        <v>4</v>
      </c>
      <c r="C85" s="12" t="s">
        <v>45</v>
      </c>
      <c r="D85" s="16" t="s">
        <v>13</v>
      </c>
      <c r="E85" s="12" t="s">
        <v>96</v>
      </c>
      <c r="F85" s="12" t="s">
        <v>47</v>
      </c>
      <c r="G85" s="12" t="s">
        <v>166</v>
      </c>
    </row>
    <row r="86" spans="1:7" x14ac:dyDescent="0.25">
      <c r="A86" s="12" t="s">
        <v>172</v>
      </c>
      <c r="B86" s="12" t="s">
        <v>4</v>
      </c>
      <c r="C86" s="12" t="s">
        <v>45</v>
      </c>
      <c r="D86" s="16" t="s">
        <v>13</v>
      </c>
      <c r="E86" s="12" t="s">
        <v>46</v>
      </c>
      <c r="F86" s="12" t="s">
        <v>47</v>
      </c>
      <c r="G86" s="12" t="s">
        <v>55</v>
      </c>
    </row>
    <row r="87" spans="1:7" x14ac:dyDescent="0.25">
      <c r="A87" s="12" t="s">
        <v>173</v>
      </c>
      <c r="B87" s="12" t="s">
        <v>4</v>
      </c>
      <c r="C87" s="12" t="s">
        <v>45</v>
      </c>
      <c r="D87" s="17" t="s">
        <v>12</v>
      </c>
      <c r="E87" s="12" t="s">
        <v>81</v>
      </c>
      <c r="F87" s="12" t="s">
        <v>47</v>
      </c>
      <c r="G87" s="12" t="s">
        <v>51</v>
      </c>
    </row>
    <row r="88" spans="1:7" x14ac:dyDescent="0.25">
      <c r="A88" s="12" t="s">
        <v>174</v>
      </c>
      <c r="B88" s="12" t="s">
        <v>4</v>
      </c>
      <c r="C88" s="12" t="s">
        <v>45</v>
      </c>
      <c r="D88" s="17" t="s">
        <v>12</v>
      </c>
      <c r="E88" s="12" t="s">
        <v>81</v>
      </c>
      <c r="F88" s="12" t="s">
        <v>47</v>
      </c>
      <c r="G88" s="12" t="s">
        <v>51</v>
      </c>
    </row>
    <row r="89" spans="1:7" x14ac:dyDescent="0.25">
      <c r="A89" s="12" t="s">
        <v>175</v>
      </c>
      <c r="B89" s="12" t="s">
        <v>4</v>
      </c>
      <c r="C89" s="12" t="s">
        <v>45</v>
      </c>
      <c r="D89" s="17" t="s">
        <v>12</v>
      </c>
      <c r="E89" s="12" t="s">
        <v>81</v>
      </c>
      <c r="F89" s="12" t="s">
        <v>47</v>
      </c>
      <c r="G89" s="12" t="s">
        <v>51</v>
      </c>
    </row>
    <row r="90" spans="1:7" x14ac:dyDescent="0.25">
      <c r="A90" s="12" t="s">
        <v>176</v>
      </c>
      <c r="B90" s="12" t="s">
        <v>4</v>
      </c>
      <c r="C90" s="12" t="s">
        <v>45</v>
      </c>
      <c r="D90" s="16" t="s">
        <v>13</v>
      </c>
      <c r="E90" s="12" t="s">
        <v>62</v>
      </c>
      <c r="F90" s="12" t="s">
        <v>47</v>
      </c>
      <c r="G90" s="12" t="s">
        <v>177</v>
      </c>
    </row>
    <row r="91" spans="1:7" x14ac:dyDescent="0.25">
      <c r="A91" s="12" t="s">
        <v>178</v>
      </c>
      <c r="B91" s="12" t="s">
        <v>4</v>
      </c>
      <c r="C91" s="12" t="s">
        <v>45</v>
      </c>
      <c r="D91" s="16" t="s">
        <v>13</v>
      </c>
      <c r="E91" s="12" t="s">
        <v>50</v>
      </c>
      <c r="F91" s="12" t="s">
        <v>47</v>
      </c>
      <c r="G91" s="12" t="s">
        <v>166</v>
      </c>
    </row>
    <row r="92" spans="1:7" x14ac:dyDescent="0.25">
      <c r="A92" s="12" t="s">
        <v>179</v>
      </c>
      <c r="B92" s="12" t="s">
        <v>4</v>
      </c>
      <c r="C92" s="12" t="s">
        <v>45</v>
      </c>
      <c r="D92" s="17" t="s">
        <v>12</v>
      </c>
      <c r="E92" s="12" t="s">
        <v>81</v>
      </c>
      <c r="F92" s="12" t="s">
        <v>47</v>
      </c>
      <c r="G92" s="12" t="s">
        <v>51</v>
      </c>
    </row>
    <row r="93" spans="1:7" x14ac:dyDescent="0.25">
      <c r="A93" s="12" t="s">
        <v>180</v>
      </c>
      <c r="B93" s="12" t="s">
        <v>4</v>
      </c>
      <c r="C93" s="12" t="s">
        <v>45</v>
      </c>
      <c r="D93" s="16" t="s">
        <v>13</v>
      </c>
      <c r="E93" s="12" t="s">
        <v>78</v>
      </c>
      <c r="F93" s="12" t="s">
        <v>47</v>
      </c>
      <c r="G93" s="12" t="s">
        <v>66</v>
      </c>
    </row>
    <row r="94" spans="1:7" x14ac:dyDescent="0.25">
      <c r="A94" s="12" t="s">
        <v>181</v>
      </c>
      <c r="B94" s="12" t="s">
        <v>4</v>
      </c>
      <c r="C94" s="12" t="s">
        <v>45</v>
      </c>
      <c r="D94" s="16" t="s">
        <v>13</v>
      </c>
      <c r="E94" s="12" t="s">
        <v>157</v>
      </c>
      <c r="F94" s="12" t="s">
        <v>47</v>
      </c>
      <c r="G94" s="12" t="s">
        <v>66</v>
      </c>
    </row>
    <row r="95" spans="1:7" x14ac:dyDescent="0.25">
      <c r="A95" s="12" t="s">
        <v>182</v>
      </c>
      <c r="B95" s="12" t="s">
        <v>4</v>
      </c>
      <c r="C95" s="12" t="s">
        <v>45</v>
      </c>
      <c r="D95" s="16" t="s">
        <v>13</v>
      </c>
      <c r="E95" s="12" t="s">
        <v>93</v>
      </c>
      <c r="F95" s="12" t="s">
        <v>47</v>
      </c>
      <c r="G95" s="12" t="s">
        <v>183</v>
      </c>
    </row>
    <row r="96" spans="1:7" x14ac:dyDescent="0.25">
      <c r="A96" s="12" t="s">
        <v>184</v>
      </c>
      <c r="B96" s="12" t="s">
        <v>4</v>
      </c>
      <c r="C96" s="12" t="s">
        <v>45</v>
      </c>
      <c r="D96" s="16" t="s">
        <v>13</v>
      </c>
      <c r="E96" s="12" t="s">
        <v>88</v>
      </c>
      <c r="F96" s="12" t="s">
        <v>47</v>
      </c>
      <c r="G96" s="12" t="s">
        <v>166</v>
      </c>
    </row>
    <row r="97" spans="1:7" x14ac:dyDescent="0.25">
      <c r="A97" s="12" t="s">
        <v>185</v>
      </c>
      <c r="B97" s="12" t="s">
        <v>4</v>
      </c>
      <c r="C97" s="12" t="s">
        <v>45</v>
      </c>
      <c r="D97" s="16" t="s">
        <v>13</v>
      </c>
      <c r="E97" s="12" t="s">
        <v>57</v>
      </c>
      <c r="F97" s="12" t="s">
        <v>47</v>
      </c>
      <c r="G97" s="12" t="s">
        <v>66</v>
      </c>
    </row>
    <row r="98" spans="1:7" x14ac:dyDescent="0.25">
      <c r="A98" s="12" t="s">
        <v>186</v>
      </c>
      <c r="B98" s="12" t="s">
        <v>4</v>
      </c>
      <c r="C98" s="12" t="s">
        <v>45</v>
      </c>
      <c r="D98" s="16" t="s">
        <v>13</v>
      </c>
      <c r="E98" s="12" t="s">
        <v>93</v>
      </c>
      <c r="F98" s="12" t="s">
        <v>47</v>
      </c>
      <c r="G98" s="12" t="s">
        <v>187</v>
      </c>
    </row>
    <row r="99" spans="1:7" x14ac:dyDescent="0.25">
      <c r="A99" s="12" t="s">
        <v>188</v>
      </c>
      <c r="B99" s="12" t="s">
        <v>4</v>
      </c>
      <c r="C99" s="12" t="s">
        <v>45</v>
      </c>
      <c r="D99" s="16" t="s">
        <v>13</v>
      </c>
      <c r="E99" s="12" t="s">
        <v>106</v>
      </c>
      <c r="F99" s="12" t="s">
        <v>47</v>
      </c>
      <c r="G99" s="12" t="s">
        <v>187</v>
      </c>
    </row>
    <row r="100" spans="1:7" x14ac:dyDescent="0.25">
      <c r="A100" s="12" t="s">
        <v>189</v>
      </c>
      <c r="B100" s="12" t="s">
        <v>4</v>
      </c>
      <c r="C100" s="12" t="s">
        <v>45</v>
      </c>
      <c r="D100" s="16" t="s">
        <v>13</v>
      </c>
      <c r="E100" s="12" t="s">
        <v>81</v>
      </c>
      <c r="F100" s="12" t="s">
        <v>47</v>
      </c>
      <c r="G100" s="12" t="s">
        <v>187</v>
      </c>
    </row>
    <row r="101" spans="1:7" x14ac:dyDescent="0.25">
      <c r="A101" s="12" t="s">
        <v>190</v>
      </c>
      <c r="B101" s="12" t="s">
        <v>4</v>
      </c>
      <c r="C101" s="12" t="s">
        <v>45</v>
      </c>
      <c r="D101" s="16" t="s">
        <v>13</v>
      </c>
      <c r="E101" s="12" t="s">
        <v>62</v>
      </c>
      <c r="F101" s="12" t="s">
        <v>47</v>
      </c>
      <c r="G101" s="12" t="s">
        <v>187</v>
      </c>
    </row>
    <row r="102" spans="1:7" x14ac:dyDescent="0.25">
      <c r="A102" s="12" t="s">
        <v>191</v>
      </c>
      <c r="B102" s="12" t="s">
        <v>4</v>
      </c>
      <c r="C102" s="12" t="s">
        <v>45</v>
      </c>
      <c r="D102" s="16" t="s">
        <v>13</v>
      </c>
      <c r="E102" s="12" t="s">
        <v>62</v>
      </c>
      <c r="F102" s="12" t="s">
        <v>47</v>
      </c>
      <c r="G102" s="12" t="s">
        <v>187</v>
      </c>
    </row>
    <row r="103" spans="1:7" x14ac:dyDescent="0.25">
      <c r="A103" s="12" t="s">
        <v>192</v>
      </c>
      <c r="B103" s="12" t="s">
        <v>4</v>
      </c>
      <c r="C103" s="12" t="s">
        <v>45</v>
      </c>
      <c r="D103" s="16" t="s">
        <v>13</v>
      </c>
      <c r="E103" s="12" t="s">
        <v>46</v>
      </c>
      <c r="F103" s="12" t="s">
        <v>47</v>
      </c>
      <c r="G103" s="12" t="s">
        <v>55</v>
      </c>
    </row>
    <row r="104" spans="1:7" x14ac:dyDescent="0.25">
      <c r="A104" s="12" t="s">
        <v>193</v>
      </c>
      <c r="B104" s="12" t="s">
        <v>4</v>
      </c>
      <c r="C104" s="12" t="s">
        <v>45</v>
      </c>
      <c r="D104" s="16" t="s">
        <v>13</v>
      </c>
      <c r="E104" s="12" t="s">
        <v>53</v>
      </c>
      <c r="F104" s="12" t="s">
        <v>47</v>
      </c>
      <c r="G104" s="12" t="s">
        <v>187</v>
      </c>
    </row>
    <row r="105" spans="1:7" x14ac:dyDescent="0.25">
      <c r="A105" s="12" t="s">
        <v>194</v>
      </c>
      <c r="B105" s="12" t="s">
        <v>4</v>
      </c>
      <c r="C105" s="12" t="s">
        <v>45</v>
      </c>
      <c r="D105" s="16" t="s">
        <v>13</v>
      </c>
      <c r="E105" s="12" t="s">
        <v>96</v>
      </c>
      <c r="F105" s="12" t="s">
        <v>47</v>
      </c>
      <c r="G105" s="12" t="s">
        <v>187</v>
      </c>
    </row>
    <row r="106" spans="1:7" x14ac:dyDescent="0.25">
      <c r="A106" s="12" t="s">
        <v>195</v>
      </c>
      <c r="B106" s="12" t="s">
        <v>4</v>
      </c>
      <c r="C106" s="12" t="s">
        <v>45</v>
      </c>
      <c r="D106" s="16" t="s">
        <v>13</v>
      </c>
      <c r="E106" s="12" t="s">
        <v>46</v>
      </c>
      <c r="F106" s="12" t="s">
        <v>47</v>
      </c>
      <c r="G106" s="12" t="s">
        <v>55</v>
      </c>
    </row>
    <row r="107" spans="1:7" x14ac:dyDescent="0.25">
      <c r="A107" s="12" t="s">
        <v>196</v>
      </c>
      <c r="B107" s="12" t="s">
        <v>4</v>
      </c>
      <c r="C107" s="12" t="s">
        <v>45</v>
      </c>
      <c r="D107" s="16" t="s">
        <v>13</v>
      </c>
      <c r="E107" s="12" t="s">
        <v>119</v>
      </c>
      <c r="F107" s="12" t="s">
        <v>47</v>
      </c>
      <c r="G107" s="12" t="s">
        <v>187</v>
      </c>
    </row>
    <row r="108" spans="1:7" x14ac:dyDescent="0.25">
      <c r="A108" s="12" t="s">
        <v>197</v>
      </c>
      <c r="B108" s="12" t="s">
        <v>4</v>
      </c>
      <c r="C108" s="12" t="s">
        <v>45</v>
      </c>
      <c r="D108" s="16" t="s">
        <v>13</v>
      </c>
      <c r="E108" s="12" t="s">
        <v>46</v>
      </c>
      <c r="F108" s="12" t="s">
        <v>47</v>
      </c>
      <c r="G108" s="12" t="s">
        <v>55</v>
      </c>
    </row>
    <row r="109" spans="1:7" x14ac:dyDescent="0.25">
      <c r="A109" s="12" t="s">
        <v>198</v>
      </c>
      <c r="B109" s="12" t="s">
        <v>4</v>
      </c>
      <c r="C109" s="12" t="s">
        <v>45</v>
      </c>
      <c r="D109" s="16" t="s">
        <v>13</v>
      </c>
      <c r="E109" s="12" t="s">
        <v>62</v>
      </c>
      <c r="F109" s="12" t="s">
        <v>47</v>
      </c>
      <c r="G109" s="12" t="s">
        <v>187</v>
      </c>
    </row>
    <row r="110" spans="1:7" x14ac:dyDescent="0.25">
      <c r="A110" s="12" t="s">
        <v>199</v>
      </c>
      <c r="B110" s="12" t="s">
        <v>4</v>
      </c>
      <c r="C110" s="12" t="s">
        <v>45</v>
      </c>
      <c r="D110" s="16" t="s">
        <v>13</v>
      </c>
      <c r="E110" s="12" t="s">
        <v>88</v>
      </c>
      <c r="F110" s="12" t="s">
        <v>47</v>
      </c>
      <c r="G110" s="12" t="s">
        <v>187</v>
      </c>
    </row>
    <row r="111" spans="1:7" x14ac:dyDescent="0.25">
      <c r="A111" s="12" t="s">
        <v>200</v>
      </c>
      <c r="B111" s="12" t="s">
        <v>4</v>
      </c>
      <c r="C111" s="12" t="s">
        <v>45</v>
      </c>
      <c r="D111" s="16" t="s">
        <v>13</v>
      </c>
      <c r="E111" s="12" t="s">
        <v>119</v>
      </c>
      <c r="F111" s="12" t="s">
        <v>47</v>
      </c>
      <c r="G111" s="12" t="s">
        <v>187</v>
      </c>
    </row>
    <row r="112" spans="1:7" x14ac:dyDescent="0.25">
      <c r="A112" s="12" t="s">
        <v>201</v>
      </c>
      <c r="B112" s="12" t="s">
        <v>4</v>
      </c>
      <c r="C112" s="12" t="s">
        <v>45</v>
      </c>
      <c r="D112" s="16" t="s">
        <v>13</v>
      </c>
      <c r="E112" s="12" t="s">
        <v>62</v>
      </c>
      <c r="F112" s="12" t="s">
        <v>47</v>
      </c>
      <c r="G112" s="12" t="s">
        <v>187</v>
      </c>
    </row>
    <row r="113" spans="1:7" x14ac:dyDescent="0.25">
      <c r="A113" s="12" t="s">
        <v>202</v>
      </c>
      <c r="B113" s="12" t="s">
        <v>4</v>
      </c>
      <c r="C113" s="12" t="s">
        <v>45</v>
      </c>
      <c r="D113" s="17" t="s">
        <v>12</v>
      </c>
      <c r="E113" s="12" t="s">
        <v>114</v>
      </c>
      <c r="F113" s="12" t="s">
        <v>47</v>
      </c>
      <c r="G113" s="12" t="s">
        <v>51</v>
      </c>
    </row>
    <row r="114" spans="1:7" x14ac:dyDescent="0.25">
      <c r="A114" s="12" t="s">
        <v>203</v>
      </c>
      <c r="B114" s="12" t="s">
        <v>4</v>
      </c>
      <c r="C114" s="12" t="s">
        <v>45</v>
      </c>
      <c r="D114" s="16" t="s">
        <v>13</v>
      </c>
      <c r="E114" s="12" t="s">
        <v>46</v>
      </c>
      <c r="F114" s="12" t="s">
        <v>47</v>
      </c>
      <c r="G114" s="12" t="s">
        <v>55</v>
      </c>
    </row>
    <row r="115" spans="1:7" x14ac:dyDescent="0.25">
      <c r="A115" s="12" t="s">
        <v>204</v>
      </c>
      <c r="B115" s="12" t="s">
        <v>4</v>
      </c>
      <c r="C115" s="12" t="s">
        <v>45</v>
      </c>
      <c r="D115" s="17" t="s">
        <v>12</v>
      </c>
      <c r="E115" s="12" t="s">
        <v>108</v>
      </c>
      <c r="F115" s="12" t="s">
        <v>47</v>
      </c>
      <c r="G115" s="12" t="s">
        <v>51</v>
      </c>
    </row>
    <row r="116" spans="1:7" x14ac:dyDescent="0.25">
      <c r="A116" s="12" t="s">
        <v>205</v>
      </c>
      <c r="B116" s="12" t="s">
        <v>4</v>
      </c>
      <c r="C116" s="12" t="s">
        <v>45</v>
      </c>
      <c r="D116" s="16" t="s">
        <v>13</v>
      </c>
      <c r="E116" s="12" t="s">
        <v>159</v>
      </c>
      <c r="F116" s="12" t="s">
        <v>47</v>
      </c>
      <c r="G116" s="12" t="s">
        <v>206</v>
      </c>
    </row>
    <row r="117" spans="1:7" x14ac:dyDescent="0.25">
      <c r="A117" s="12" t="s">
        <v>207</v>
      </c>
      <c r="B117" s="12" t="s">
        <v>4</v>
      </c>
      <c r="C117" s="12" t="s">
        <v>45</v>
      </c>
      <c r="D117" s="16" t="s">
        <v>13</v>
      </c>
      <c r="E117" s="12" t="s">
        <v>46</v>
      </c>
      <c r="F117" s="12" t="s">
        <v>47</v>
      </c>
      <c r="G117" s="12" t="s">
        <v>55</v>
      </c>
    </row>
    <row r="118" spans="1:7" x14ac:dyDescent="0.25">
      <c r="A118" s="12" t="s">
        <v>208</v>
      </c>
      <c r="B118" s="12" t="s">
        <v>4</v>
      </c>
      <c r="C118" s="12" t="s">
        <v>45</v>
      </c>
      <c r="D118" s="16" t="s">
        <v>13</v>
      </c>
      <c r="E118" s="12" t="s">
        <v>93</v>
      </c>
      <c r="F118" s="12" t="s">
        <v>47</v>
      </c>
      <c r="G118" s="12" t="s">
        <v>187</v>
      </c>
    </row>
    <row r="119" spans="1:7" x14ac:dyDescent="0.25">
      <c r="A119" s="12" t="s">
        <v>209</v>
      </c>
      <c r="B119" s="12" t="s">
        <v>4</v>
      </c>
      <c r="C119" s="12" t="s">
        <v>45</v>
      </c>
      <c r="D119" s="16" t="s">
        <v>13</v>
      </c>
      <c r="E119" s="12" t="s">
        <v>93</v>
      </c>
      <c r="F119" s="12" t="s">
        <v>47</v>
      </c>
      <c r="G119" s="12" t="s">
        <v>187</v>
      </c>
    </row>
    <row r="120" spans="1:7" x14ac:dyDescent="0.25">
      <c r="A120" s="12" t="s">
        <v>210</v>
      </c>
      <c r="B120" s="12" t="s">
        <v>4</v>
      </c>
      <c r="C120" s="12" t="s">
        <v>45</v>
      </c>
      <c r="D120" s="16" t="s">
        <v>13</v>
      </c>
      <c r="E120" s="12" t="s">
        <v>121</v>
      </c>
      <c r="F120" s="12" t="s">
        <v>47</v>
      </c>
      <c r="G120" s="12" t="s">
        <v>72</v>
      </c>
    </row>
    <row r="121" spans="1:7" x14ac:dyDescent="0.25">
      <c r="A121" s="12" t="s">
        <v>211</v>
      </c>
      <c r="B121" s="12" t="s">
        <v>4</v>
      </c>
      <c r="C121" s="12" t="s">
        <v>45</v>
      </c>
      <c r="D121" s="16" t="s">
        <v>13</v>
      </c>
      <c r="E121" s="12" t="s">
        <v>212</v>
      </c>
      <c r="F121" s="12" t="s">
        <v>47</v>
      </c>
      <c r="G121" s="12" t="s">
        <v>72</v>
      </c>
    </row>
    <row r="122" spans="1:7" x14ac:dyDescent="0.25">
      <c r="A122" s="12" t="s">
        <v>213</v>
      </c>
      <c r="B122" s="12" t="s">
        <v>4</v>
      </c>
      <c r="C122" s="12" t="s">
        <v>45</v>
      </c>
      <c r="D122" s="16" t="s">
        <v>13</v>
      </c>
      <c r="E122" s="12" t="s">
        <v>46</v>
      </c>
      <c r="F122" s="12" t="s">
        <v>47</v>
      </c>
      <c r="G122" s="12" t="s">
        <v>214</v>
      </c>
    </row>
    <row r="123" spans="1:7" x14ac:dyDescent="0.25">
      <c r="A123" s="12" t="s">
        <v>215</v>
      </c>
      <c r="B123" s="12" t="s">
        <v>4</v>
      </c>
      <c r="C123" s="12" t="s">
        <v>45</v>
      </c>
      <c r="D123" s="16" t="s">
        <v>13</v>
      </c>
      <c r="E123" s="12" t="s">
        <v>157</v>
      </c>
      <c r="F123" s="12" t="s">
        <v>47</v>
      </c>
      <c r="G123" s="12" t="s">
        <v>72</v>
      </c>
    </row>
    <row r="124" spans="1:7" x14ac:dyDescent="0.25">
      <c r="A124" s="12" t="s">
        <v>216</v>
      </c>
      <c r="B124" s="12" t="s">
        <v>4</v>
      </c>
      <c r="C124" s="12" t="s">
        <v>45</v>
      </c>
      <c r="D124" s="16" t="s">
        <v>13</v>
      </c>
      <c r="E124" s="12" t="s">
        <v>106</v>
      </c>
      <c r="F124" s="12" t="s">
        <v>47</v>
      </c>
      <c r="G124" s="12" t="s">
        <v>187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30" customWidth="1"/>
    <col min="4" max="4" width="22" customWidth="1"/>
    <col min="5" max="5" width="12" customWidth="1"/>
    <col min="6" max="6" width="18" customWidth="1"/>
    <col min="7" max="8" width="10" customWidth="1"/>
    <col min="9" max="9" width="14" customWidth="1"/>
    <col min="10" max="10" width="12" customWidth="1"/>
    <col min="11" max="11" width="16" customWidth="1"/>
    <col min="12" max="13" width="18" customWidth="1"/>
    <col min="14" max="14" width="28" customWidth="1"/>
    <col min="15" max="15" width="50" customWidth="1"/>
    <col min="16" max="16" width="40" customWidth="1"/>
  </cols>
  <sheetData>
    <row r="1" ht="26" customHeight="1" spans="1:16" x14ac:dyDescent="0.25">
      <c r="A1" s="11" t="s">
        <v>217</v>
      </c>
      <c r="B1" s="11" t="s">
        <v>39</v>
      </c>
      <c r="C1" s="11" t="s">
        <v>3</v>
      </c>
      <c r="D1" s="11" t="s">
        <v>218</v>
      </c>
      <c r="E1" s="11" t="s">
        <v>219</v>
      </c>
      <c r="F1" s="11" t="s">
        <v>220</v>
      </c>
      <c r="G1" s="11" t="s">
        <v>221</v>
      </c>
      <c r="H1" s="11" t="s">
        <v>222</v>
      </c>
      <c r="I1" s="11" t="s">
        <v>41</v>
      </c>
      <c r="J1" s="11" t="s">
        <v>5</v>
      </c>
      <c r="K1" s="11" t="s">
        <v>223</v>
      </c>
      <c r="L1" s="11" t="s">
        <v>224</v>
      </c>
      <c r="M1" s="11" t="s">
        <v>225</v>
      </c>
      <c r="N1" s="11" t="s">
        <v>226</v>
      </c>
      <c r="O1" s="11" t="s">
        <v>227</v>
      </c>
      <c r="P1" s="11" t="s">
        <v>228</v>
      </c>
    </row>
    <row r="2" spans="1:16" x14ac:dyDescent="0.25">
      <c r="A2" s="12" t="s">
        <v>229</v>
      </c>
      <c r="B2" s="12" t="s">
        <v>230</v>
      </c>
      <c r="C2" s="12" t="s">
        <v>231</v>
      </c>
      <c r="D2" s="12" t="s">
        <v>232</v>
      </c>
      <c r="E2" s="18" t="s">
        <v>233</v>
      </c>
      <c r="F2" s="12" t="s">
        <v>234</v>
      </c>
      <c r="G2" s="12" t="s">
        <v>235</v>
      </c>
      <c r="H2" s="12" t="s">
        <v>235</v>
      </c>
      <c r="I2" s="12" t="s">
        <v>236</v>
      </c>
      <c r="J2" s="12" t="s">
        <v>237</v>
      </c>
      <c r="K2" s="12" t="s">
        <v>238</v>
      </c>
      <c r="L2" s="12" t="s">
        <v>13</v>
      </c>
      <c r="M2" s="19" t="s">
        <v>238</v>
      </c>
      <c r="N2" s="12" t="s">
        <v>239</v>
      </c>
      <c r="O2" s="12" t="s">
        <v>240</v>
      </c>
      <c r="P2" s="12" t="s">
        <v>241</v>
      </c>
    </row>
    <row r="3" spans="1:16" x14ac:dyDescent="0.25">
      <c r="A3" s="12" t="s">
        <v>242</v>
      </c>
      <c r="B3" s="12" t="s">
        <v>243</v>
      </c>
      <c r="C3" s="12" t="s">
        <v>231</v>
      </c>
      <c r="D3" s="12" t="s">
        <v>244</v>
      </c>
      <c r="E3" s="18" t="s">
        <v>233</v>
      </c>
      <c r="F3" s="12" t="s">
        <v>234</v>
      </c>
      <c r="G3" s="12" t="s">
        <v>245</v>
      </c>
      <c r="H3" s="12" t="s">
        <v>246</v>
      </c>
      <c r="I3" s="12" t="s">
        <v>236</v>
      </c>
      <c r="J3" s="12" t="s">
        <v>237</v>
      </c>
      <c r="K3" s="12" t="s">
        <v>238</v>
      </c>
      <c r="L3" s="12" t="s">
        <v>13</v>
      </c>
      <c r="M3" s="19" t="s">
        <v>238</v>
      </c>
      <c r="N3" s="12" t="s">
        <v>239</v>
      </c>
      <c r="O3" s="12" t="s">
        <v>247</v>
      </c>
      <c r="P3" s="12" t="s">
        <v>241</v>
      </c>
    </row>
    <row r="4" spans="1:16" x14ac:dyDescent="0.25">
      <c r="A4" s="12" t="s">
        <v>248</v>
      </c>
      <c r="B4" s="12" t="s">
        <v>249</v>
      </c>
      <c r="C4" s="12" t="s">
        <v>231</v>
      </c>
      <c r="D4" s="12" t="s">
        <v>244</v>
      </c>
      <c r="E4" s="18" t="s">
        <v>233</v>
      </c>
      <c r="F4" s="12" t="s">
        <v>234</v>
      </c>
      <c r="G4" s="12" t="s">
        <v>245</v>
      </c>
      <c r="H4" s="12" t="s">
        <v>246</v>
      </c>
      <c r="I4" s="12" t="s">
        <v>236</v>
      </c>
      <c r="J4" s="12" t="s">
        <v>237</v>
      </c>
      <c r="K4" s="12" t="s">
        <v>238</v>
      </c>
      <c r="L4" s="12" t="s">
        <v>13</v>
      </c>
      <c r="M4" s="19" t="s">
        <v>238</v>
      </c>
      <c r="N4" s="12" t="s">
        <v>239</v>
      </c>
      <c r="O4" s="12" t="s">
        <v>250</v>
      </c>
      <c r="P4" s="12" t="s">
        <v>241</v>
      </c>
    </row>
    <row r="5" spans="1:16" x14ac:dyDescent="0.25">
      <c r="A5" s="12" t="s">
        <v>251</v>
      </c>
      <c r="B5" s="12" t="s">
        <v>252</v>
      </c>
      <c r="C5" s="12" t="s">
        <v>231</v>
      </c>
      <c r="D5" s="12" t="s">
        <v>244</v>
      </c>
      <c r="E5" s="18" t="s">
        <v>233</v>
      </c>
      <c r="F5" s="12" t="s">
        <v>234</v>
      </c>
      <c r="G5" s="12" t="s">
        <v>245</v>
      </c>
      <c r="H5" s="12" t="s">
        <v>246</v>
      </c>
      <c r="I5" s="12" t="s">
        <v>236</v>
      </c>
      <c r="J5" s="12" t="s">
        <v>237</v>
      </c>
      <c r="K5" s="12" t="s">
        <v>238</v>
      </c>
      <c r="L5" s="12" t="s">
        <v>13</v>
      </c>
      <c r="M5" s="19" t="s">
        <v>238</v>
      </c>
      <c r="N5" s="12" t="s">
        <v>239</v>
      </c>
      <c r="O5" s="12" t="s">
        <v>253</v>
      </c>
      <c r="P5" s="12" t="s">
        <v>241</v>
      </c>
    </row>
    <row r="6" spans="1:16" x14ac:dyDescent="0.25">
      <c r="A6" s="12" t="s">
        <v>254</v>
      </c>
      <c r="B6" s="12" t="s">
        <v>255</v>
      </c>
      <c r="C6" s="12" t="s">
        <v>231</v>
      </c>
      <c r="D6" s="12" t="s">
        <v>244</v>
      </c>
      <c r="E6" s="18" t="s">
        <v>233</v>
      </c>
      <c r="F6" s="12" t="s">
        <v>234</v>
      </c>
      <c r="G6" s="12" t="s">
        <v>245</v>
      </c>
      <c r="H6" s="12" t="s">
        <v>246</v>
      </c>
      <c r="I6" s="12" t="s">
        <v>236</v>
      </c>
      <c r="J6" s="12" t="s">
        <v>237</v>
      </c>
      <c r="K6" s="12" t="s">
        <v>238</v>
      </c>
      <c r="L6" s="12" t="s">
        <v>13</v>
      </c>
      <c r="M6" s="19" t="s">
        <v>238</v>
      </c>
      <c r="N6" s="12" t="s">
        <v>239</v>
      </c>
      <c r="O6" s="12" t="s">
        <v>256</v>
      </c>
      <c r="P6" s="12" t="s">
        <v>241</v>
      </c>
    </row>
    <row r="7" spans="1:16" x14ac:dyDescent="0.25">
      <c r="A7" s="12" t="s">
        <v>257</v>
      </c>
      <c r="B7" s="12" t="s">
        <v>258</v>
      </c>
      <c r="C7" s="12" t="s">
        <v>231</v>
      </c>
      <c r="D7" s="12" t="s">
        <v>244</v>
      </c>
      <c r="E7" s="18" t="s">
        <v>233</v>
      </c>
      <c r="F7" s="12" t="s">
        <v>234</v>
      </c>
      <c r="G7" s="12" t="s">
        <v>246</v>
      </c>
      <c r="H7" s="12" t="s">
        <v>246</v>
      </c>
      <c r="I7" s="12" t="s">
        <v>236</v>
      </c>
      <c r="J7" s="12" t="s">
        <v>237</v>
      </c>
      <c r="K7" s="12" t="s">
        <v>238</v>
      </c>
      <c r="L7" s="12" t="s">
        <v>13</v>
      </c>
      <c r="M7" s="19" t="s">
        <v>238</v>
      </c>
      <c r="N7" s="12" t="s">
        <v>239</v>
      </c>
      <c r="O7" s="12" t="s">
        <v>259</v>
      </c>
      <c r="P7" s="12" t="s">
        <v>241</v>
      </c>
    </row>
    <row r="8" spans="1:16" x14ac:dyDescent="0.25">
      <c r="A8" s="12" t="s">
        <v>260</v>
      </c>
      <c r="B8" s="12" t="s">
        <v>261</v>
      </c>
      <c r="C8" s="12" t="s">
        <v>231</v>
      </c>
      <c r="D8" s="12" t="s">
        <v>262</v>
      </c>
      <c r="E8" s="18" t="s">
        <v>233</v>
      </c>
      <c r="F8" s="12" t="s">
        <v>234</v>
      </c>
      <c r="G8" s="12" t="s">
        <v>235</v>
      </c>
      <c r="H8" s="12" t="s">
        <v>235</v>
      </c>
      <c r="I8" s="12" t="s">
        <v>236</v>
      </c>
      <c r="J8" s="12" t="s">
        <v>237</v>
      </c>
      <c r="K8" s="12" t="s">
        <v>238</v>
      </c>
      <c r="L8" s="12" t="s">
        <v>13</v>
      </c>
      <c r="M8" s="19" t="s">
        <v>238</v>
      </c>
      <c r="N8" s="12" t="s">
        <v>239</v>
      </c>
      <c r="O8" s="12" t="s">
        <v>263</v>
      </c>
      <c r="P8" s="12" t="s">
        <v>241</v>
      </c>
    </row>
    <row r="9" spans="1:16" x14ac:dyDescent="0.25">
      <c r="A9" s="12" t="s">
        <v>264</v>
      </c>
      <c r="B9" s="12" t="s">
        <v>265</v>
      </c>
      <c r="C9" s="12" t="s">
        <v>231</v>
      </c>
      <c r="D9" s="12" t="s">
        <v>244</v>
      </c>
      <c r="E9" s="18" t="s">
        <v>233</v>
      </c>
      <c r="F9" s="12" t="s">
        <v>234</v>
      </c>
      <c r="G9" s="12" t="s">
        <v>245</v>
      </c>
      <c r="H9" s="12" t="s">
        <v>246</v>
      </c>
      <c r="I9" s="12" t="s">
        <v>236</v>
      </c>
      <c r="J9" s="12" t="s">
        <v>237</v>
      </c>
      <c r="K9" s="12" t="s">
        <v>238</v>
      </c>
      <c r="L9" s="12" t="s">
        <v>13</v>
      </c>
      <c r="M9" s="19" t="s">
        <v>238</v>
      </c>
      <c r="N9" s="12" t="s">
        <v>239</v>
      </c>
      <c r="O9" s="12" t="s">
        <v>266</v>
      </c>
      <c r="P9" s="12" t="s">
        <v>241</v>
      </c>
    </row>
    <row r="10" spans="1:16" x14ac:dyDescent="0.25">
      <c r="A10" s="12" t="s">
        <v>267</v>
      </c>
      <c r="B10" s="12" t="s">
        <v>268</v>
      </c>
      <c r="C10" s="12" t="s">
        <v>231</v>
      </c>
      <c r="D10" s="12" t="s">
        <v>244</v>
      </c>
      <c r="E10" s="18" t="s">
        <v>233</v>
      </c>
      <c r="F10" s="12" t="s">
        <v>234</v>
      </c>
      <c r="G10" s="12" t="s">
        <v>245</v>
      </c>
      <c r="H10" s="12" t="s">
        <v>246</v>
      </c>
      <c r="I10" s="12" t="s">
        <v>236</v>
      </c>
      <c r="J10" s="12" t="s">
        <v>237</v>
      </c>
      <c r="K10" s="12" t="s">
        <v>238</v>
      </c>
      <c r="L10" s="12" t="s">
        <v>13</v>
      </c>
      <c r="M10" s="19" t="s">
        <v>238</v>
      </c>
      <c r="N10" s="12" t="s">
        <v>239</v>
      </c>
      <c r="O10" s="12" t="s">
        <v>269</v>
      </c>
      <c r="P10" s="12" t="s">
        <v>241</v>
      </c>
    </row>
    <row r="11" spans="1:16" x14ac:dyDescent="0.25">
      <c r="A11" s="12" t="s">
        <v>270</v>
      </c>
      <c r="B11" s="12" t="s">
        <v>271</v>
      </c>
      <c r="C11" s="12" t="s">
        <v>231</v>
      </c>
      <c r="D11" s="12" t="s">
        <v>272</v>
      </c>
      <c r="E11" s="18" t="s">
        <v>233</v>
      </c>
      <c r="F11" s="12" t="s">
        <v>234</v>
      </c>
      <c r="G11" s="12" t="s">
        <v>235</v>
      </c>
      <c r="H11" s="12" t="s">
        <v>246</v>
      </c>
      <c r="I11" s="12" t="s">
        <v>236</v>
      </c>
      <c r="J11" s="12" t="s">
        <v>237</v>
      </c>
      <c r="K11" s="12" t="s">
        <v>238</v>
      </c>
      <c r="L11" s="12" t="s">
        <v>13</v>
      </c>
      <c r="M11" s="19" t="s">
        <v>238</v>
      </c>
      <c r="N11" s="12" t="s">
        <v>239</v>
      </c>
      <c r="O11" s="12" t="s">
        <v>273</v>
      </c>
      <c r="P11" s="12" t="s">
        <v>241</v>
      </c>
    </row>
    <row r="12" spans="1:16" x14ac:dyDescent="0.25">
      <c r="A12" s="12" t="s">
        <v>274</v>
      </c>
      <c r="B12" s="12" t="s">
        <v>54</v>
      </c>
      <c r="C12" s="12" t="s">
        <v>4</v>
      </c>
      <c r="D12" s="12" t="s">
        <v>275</v>
      </c>
      <c r="E12" s="18" t="s">
        <v>233</v>
      </c>
      <c r="F12" s="12" t="s">
        <v>234</v>
      </c>
      <c r="G12" s="12" t="s">
        <v>235</v>
      </c>
      <c r="H12" s="12" t="s">
        <v>245</v>
      </c>
      <c r="I12" s="12" t="s">
        <v>236</v>
      </c>
      <c r="J12" s="12" t="s">
        <v>6</v>
      </c>
      <c r="K12" s="12" t="s">
        <v>47</v>
      </c>
      <c r="L12" s="12" t="s">
        <v>13</v>
      </c>
      <c r="M12" s="19" t="s">
        <v>238</v>
      </c>
      <c r="N12" s="12" t="s">
        <v>239</v>
      </c>
      <c r="O12" s="12" t="s">
        <v>276</v>
      </c>
      <c r="P12" s="12" t="s">
        <v>277</v>
      </c>
    </row>
    <row r="13" spans="1:16" x14ac:dyDescent="0.25">
      <c r="A13" s="12" t="s">
        <v>278</v>
      </c>
      <c r="B13" s="12" t="s">
        <v>58</v>
      </c>
      <c r="C13" s="12" t="s">
        <v>4</v>
      </c>
      <c r="D13" s="12" t="s">
        <v>279</v>
      </c>
      <c r="E13" s="18" t="s">
        <v>233</v>
      </c>
      <c r="F13" s="12" t="s">
        <v>234</v>
      </c>
      <c r="G13" s="12" t="s">
        <v>235</v>
      </c>
      <c r="H13" s="12" t="s">
        <v>245</v>
      </c>
      <c r="I13" s="12" t="s">
        <v>236</v>
      </c>
      <c r="J13" s="12" t="s">
        <v>6</v>
      </c>
      <c r="K13" s="12" t="s">
        <v>47</v>
      </c>
      <c r="L13" s="12" t="s">
        <v>13</v>
      </c>
      <c r="M13" s="19" t="s">
        <v>238</v>
      </c>
      <c r="N13" s="12" t="s">
        <v>239</v>
      </c>
      <c r="O13" s="12" t="s">
        <v>280</v>
      </c>
      <c r="P13" s="12" t="s">
        <v>277</v>
      </c>
    </row>
    <row r="14" spans="1:16" x14ac:dyDescent="0.25">
      <c r="A14" s="12" t="s">
        <v>281</v>
      </c>
      <c r="B14" s="12" t="s">
        <v>71</v>
      </c>
      <c r="C14" s="12" t="s">
        <v>4</v>
      </c>
      <c r="D14" s="12" t="s">
        <v>282</v>
      </c>
      <c r="E14" s="18" t="s">
        <v>233</v>
      </c>
      <c r="F14" s="12" t="s">
        <v>234</v>
      </c>
      <c r="G14" s="12" t="s">
        <v>245</v>
      </c>
      <c r="H14" s="12" t="s">
        <v>246</v>
      </c>
      <c r="I14" s="12" t="s">
        <v>236</v>
      </c>
      <c r="J14" s="12" t="s">
        <v>6</v>
      </c>
      <c r="K14" s="12" t="s">
        <v>47</v>
      </c>
      <c r="L14" s="12" t="s">
        <v>13</v>
      </c>
      <c r="M14" s="19" t="s">
        <v>238</v>
      </c>
      <c r="N14" s="12" t="s">
        <v>239</v>
      </c>
      <c r="O14" s="12" t="s">
        <v>283</v>
      </c>
      <c r="P14" s="12" t="s">
        <v>277</v>
      </c>
    </row>
    <row r="15" spans="1:16" x14ac:dyDescent="0.25">
      <c r="A15" s="12" t="s">
        <v>284</v>
      </c>
      <c r="B15" s="12" t="s">
        <v>136</v>
      </c>
      <c r="C15" s="12" t="s">
        <v>4</v>
      </c>
      <c r="D15" s="12" t="s">
        <v>285</v>
      </c>
      <c r="E15" s="18" t="s">
        <v>233</v>
      </c>
      <c r="F15" s="12" t="s">
        <v>234</v>
      </c>
      <c r="G15" s="12" t="s">
        <v>245</v>
      </c>
      <c r="H15" s="12" t="s">
        <v>245</v>
      </c>
      <c r="I15" s="12" t="s">
        <v>236</v>
      </c>
      <c r="J15" s="12" t="s">
        <v>6</v>
      </c>
      <c r="K15" s="12" t="s">
        <v>47</v>
      </c>
      <c r="L15" s="12" t="s">
        <v>13</v>
      </c>
      <c r="M15" s="19" t="s">
        <v>238</v>
      </c>
      <c r="N15" s="12" t="s">
        <v>239</v>
      </c>
      <c r="O15" s="12" t="s">
        <v>286</v>
      </c>
      <c r="P15" s="12" t="s">
        <v>277</v>
      </c>
    </row>
    <row r="16" spans="1:16" x14ac:dyDescent="0.25">
      <c r="A16" s="12" t="s">
        <v>287</v>
      </c>
      <c r="B16" s="12" t="s">
        <v>138</v>
      </c>
      <c r="C16" s="12" t="s">
        <v>4</v>
      </c>
      <c r="D16" s="12" t="s">
        <v>285</v>
      </c>
      <c r="E16" s="18" t="s">
        <v>233</v>
      </c>
      <c r="F16" s="12" t="s">
        <v>234</v>
      </c>
      <c r="G16" s="12" t="s">
        <v>245</v>
      </c>
      <c r="H16" s="12" t="s">
        <v>246</v>
      </c>
      <c r="I16" s="12" t="s">
        <v>236</v>
      </c>
      <c r="J16" s="12" t="s">
        <v>6</v>
      </c>
      <c r="K16" s="12" t="s">
        <v>47</v>
      </c>
      <c r="L16" s="12" t="s">
        <v>13</v>
      </c>
      <c r="M16" s="19" t="s">
        <v>238</v>
      </c>
      <c r="N16" s="12" t="s">
        <v>239</v>
      </c>
      <c r="O16" s="12" t="s">
        <v>288</v>
      </c>
      <c r="P16" s="12" t="s">
        <v>277</v>
      </c>
    </row>
    <row r="17" spans="1:16" x14ac:dyDescent="0.25">
      <c r="A17" s="12" t="s">
        <v>289</v>
      </c>
      <c r="B17" s="12" t="s">
        <v>158</v>
      </c>
      <c r="C17" s="12" t="s">
        <v>4</v>
      </c>
      <c r="D17" s="12" t="s">
        <v>290</v>
      </c>
      <c r="E17" s="18" t="s">
        <v>233</v>
      </c>
      <c r="F17" s="12" t="s">
        <v>234</v>
      </c>
      <c r="G17" s="12" t="s">
        <v>245</v>
      </c>
      <c r="H17" s="12" t="s">
        <v>245</v>
      </c>
      <c r="I17" s="12" t="s">
        <v>236</v>
      </c>
      <c r="J17" s="12" t="s">
        <v>6</v>
      </c>
      <c r="K17" s="12" t="s">
        <v>47</v>
      </c>
      <c r="L17" s="12" t="s">
        <v>13</v>
      </c>
      <c r="M17" s="19" t="s">
        <v>238</v>
      </c>
      <c r="N17" s="12" t="s">
        <v>239</v>
      </c>
      <c r="O17" s="12" t="s">
        <v>291</v>
      </c>
      <c r="P17" s="12" t="s">
        <v>277</v>
      </c>
    </row>
    <row r="18" spans="1:16" x14ac:dyDescent="0.25">
      <c r="A18" s="12" t="s">
        <v>292</v>
      </c>
      <c r="B18" s="12" t="s">
        <v>160</v>
      </c>
      <c r="C18" s="12" t="s">
        <v>4</v>
      </c>
      <c r="D18" s="12" t="s">
        <v>285</v>
      </c>
      <c r="E18" s="18" t="s">
        <v>233</v>
      </c>
      <c r="F18" s="12" t="s">
        <v>234</v>
      </c>
      <c r="G18" s="12" t="s">
        <v>245</v>
      </c>
      <c r="H18" s="12" t="s">
        <v>245</v>
      </c>
      <c r="I18" s="12" t="s">
        <v>236</v>
      </c>
      <c r="J18" s="12" t="s">
        <v>6</v>
      </c>
      <c r="K18" s="12" t="s">
        <v>47</v>
      </c>
      <c r="L18" s="12" t="s">
        <v>13</v>
      </c>
      <c r="M18" s="19" t="s">
        <v>238</v>
      </c>
      <c r="N18" s="12" t="s">
        <v>239</v>
      </c>
      <c r="O18" s="12" t="s">
        <v>293</v>
      </c>
      <c r="P18" s="12" t="s">
        <v>277</v>
      </c>
    </row>
    <row r="19" spans="1:16" x14ac:dyDescent="0.25">
      <c r="A19" s="12" t="s">
        <v>294</v>
      </c>
      <c r="B19" s="12" t="s">
        <v>165</v>
      </c>
      <c r="C19" s="12" t="s">
        <v>4</v>
      </c>
      <c r="D19" s="12" t="s">
        <v>275</v>
      </c>
      <c r="E19" s="18" t="s">
        <v>233</v>
      </c>
      <c r="F19" s="12" t="s">
        <v>234</v>
      </c>
      <c r="G19" s="12" t="s">
        <v>235</v>
      </c>
      <c r="H19" s="12" t="s">
        <v>245</v>
      </c>
      <c r="I19" s="12" t="s">
        <v>236</v>
      </c>
      <c r="J19" s="12" t="s">
        <v>6</v>
      </c>
      <c r="K19" s="12" t="s">
        <v>47</v>
      </c>
      <c r="L19" s="12" t="s">
        <v>13</v>
      </c>
      <c r="M19" s="19" t="s">
        <v>238</v>
      </c>
      <c r="N19" s="12" t="s">
        <v>239</v>
      </c>
      <c r="O19" s="12" t="s">
        <v>295</v>
      </c>
      <c r="P19" s="12" t="s">
        <v>277</v>
      </c>
    </row>
    <row r="20" spans="1:16" x14ac:dyDescent="0.25">
      <c r="A20" s="12" t="s">
        <v>296</v>
      </c>
      <c r="B20" s="12" t="s">
        <v>167</v>
      </c>
      <c r="C20" s="12" t="s">
        <v>4</v>
      </c>
      <c r="D20" s="12" t="s">
        <v>275</v>
      </c>
      <c r="E20" s="18" t="s">
        <v>233</v>
      </c>
      <c r="F20" s="12" t="s">
        <v>234</v>
      </c>
      <c r="G20" s="12" t="s">
        <v>235</v>
      </c>
      <c r="H20" s="12" t="s">
        <v>245</v>
      </c>
      <c r="I20" s="12" t="s">
        <v>236</v>
      </c>
      <c r="J20" s="12" t="s">
        <v>6</v>
      </c>
      <c r="K20" s="12" t="s">
        <v>47</v>
      </c>
      <c r="L20" s="12" t="s">
        <v>13</v>
      </c>
      <c r="M20" s="19" t="s">
        <v>238</v>
      </c>
      <c r="N20" s="12" t="s">
        <v>239</v>
      </c>
      <c r="O20" s="12" t="s">
        <v>297</v>
      </c>
      <c r="P20" s="12" t="s">
        <v>277</v>
      </c>
    </row>
    <row r="21" spans="1:16" x14ac:dyDescent="0.25">
      <c r="A21" s="12" t="s">
        <v>298</v>
      </c>
      <c r="B21" s="12" t="s">
        <v>171</v>
      </c>
      <c r="C21" s="12" t="s">
        <v>4</v>
      </c>
      <c r="D21" s="12" t="s">
        <v>275</v>
      </c>
      <c r="E21" s="18" t="s">
        <v>233</v>
      </c>
      <c r="F21" s="12" t="s">
        <v>234</v>
      </c>
      <c r="G21" s="12" t="s">
        <v>235</v>
      </c>
      <c r="H21" s="12" t="s">
        <v>245</v>
      </c>
      <c r="I21" s="12" t="s">
        <v>236</v>
      </c>
      <c r="J21" s="12" t="s">
        <v>6</v>
      </c>
      <c r="K21" s="12" t="s">
        <v>47</v>
      </c>
      <c r="L21" s="12" t="s">
        <v>13</v>
      </c>
      <c r="M21" s="19" t="s">
        <v>238</v>
      </c>
      <c r="N21" s="12" t="s">
        <v>239</v>
      </c>
      <c r="O21" s="12" t="s">
        <v>299</v>
      </c>
      <c r="P21" s="12" t="s">
        <v>277</v>
      </c>
    </row>
    <row r="22" spans="1:16" x14ac:dyDescent="0.25">
      <c r="A22" s="12" t="s">
        <v>300</v>
      </c>
      <c r="B22" s="12" t="s">
        <v>172</v>
      </c>
      <c r="C22" s="12" t="s">
        <v>4</v>
      </c>
      <c r="D22" s="12" t="s">
        <v>275</v>
      </c>
      <c r="E22" s="18" t="s">
        <v>233</v>
      </c>
      <c r="F22" s="12" t="s">
        <v>234</v>
      </c>
      <c r="G22" s="12" t="s">
        <v>235</v>
      </c>
      <c r="H22" s="12" t="s">
        <v>245</v>
      </c>
      <c r="I22" s="12" t="s">
        <v>236</v>
      </c>
      <c r="J22" s="12" t="s">
        <v>6</v>
      </c>
      <c r="K22" s="12" t="s">
        <v>47</v>
      </c>
      <c r="L22" s="12" t="s">
        <v>13</v>
      </c>
      <c r="M22" s="19" t="s">
        <v>238</v>
      </c>
      <c r="N22" s="12" t="s">
        <v>239</v>
      </c>
      <c r="O22" s="12" t="s">
        <v>301</v>
      </c>
      <c r="P22" s="12" t="s">
        <v>277</v>
      </c>
    </row>
    <row r="23" spans="1:16" x14ac:dyDescent="0.25">
      <c r="A23" s="12" t="s">
        <v>302</v>
      </c>
      <c r="B23" s="12" t="s">
        <v>176</v>
      </c>
      <c r="C23" s="12" t="s">
        <v>4</v>
      </c>
      <c r="D23" s="12" t="s">
        <v>275</v>
      </c>
      <c r="E23" s="18" t="s">
        <v>233</v>
      </c>
      <c r="F23" s="12" t="s">
        <v>234</v>
      </c>
      <c r="G23" s="12" t="s">
        <v>235</v>
      </c>
      <c r="H23" s="12" t="s">
        <v>245</v>
      </c>
      <c r="I23" s="12" t="s">
        <v>236</v>
      </c>
      <c r="J23" s="12" t="s">
        <v>6</v>
      </c>
      <c r="K23" s="12" t="s">
        <v>47</v>
      </c>
      <c r="L23" s="12" t="s">
        <v>13</v>
      </c>
      <c r="M23" s="19" t="s">
        <v>238</v>
      </c>
      <c r="N23" s="12" t="s">
        <v>239</v>
      </c>
      <c r="O23" s="12" t="s">
        <v>303</v>
      </c>
      <c r="P23" s="12" t="s">
        <v>277</v>
      </c>
    </row>
    <row r="24" spans="1:16" x14ac:dyDescent="0.25">
      <c r="A24" s="12" t="s">
        <v>304</v>
      </c>
      <c r="B24" s="12" t="s">
        <v>178</v>
      </c>
      <c r="C24" s="12" t="s">
        <v>4</v>
      </c>
      <c r="D24" s="12" t="s">
        <v>275</v>
      </c>
      <c r="E24" s="18" t="s">
        <v>233</v>
      </c>
      <c r="F24" s="12" t="s">
        <v>234</v>
      </c>
      <c r="G24" s="12" t="s">
        <v>235</v>
      </c>
      <c r="H24" s="12" t="s">
        <v>245</v>
      </c>
      <c r="I24" s="12" t="s">
        <v>236</v>
      </c>
      <c r="J24" s="12" t="s">
        <v>6</v>
      </c>
      <c r="K24" s="12" t="s">
        <v>47</v>
      </c>
      <c r="L24" s="12" t="s">
        <v>13</v>
      </c>
      <c r="M24" s="19" t="s">
        <v>238</v>
      </c>
      <c r="N24" s="12" t="s">
        <v>239</v>
      </c>
      <c r="O24" s="12" t="s">
        <v>305</v>
      </c>
      <c r="P24" s="12" t="s">
        <v>277</v>
      </c>
    </row>
    <row r="25" spans="1:16" x14ac:dyDescent="0.25">
      <c r="A25" s="12" t="s">
        <v>306</v>
      </c>
      <c r="B25" s="12" t="s">
        <v>182</v>
      </c>
      <c r="C25" s="12" t="s">
        <v>4</v>
      </c>
      <c r="D25" s="12" t="s">
        <v>275</v>
      </c>
      <c r="E25" s="18" t="s">
        <v>233</v>
      </c>
      <c r="F25" s="12" t="s">
        <v>234</v>
      </c>
      <c r="G25" s="12" t="s">
        <v>235</v>
      </c>
      <c r="H25" s="12" t="s">
        <v>245</v>
      </c>
      <c r="I25" s="12" t="s">
        <v>236</v>
      </c>
      <c r="J25" s="12" t="s">
        <v>6</v>
      </c>
      <c r="K25" s="12" t="s">
        <v>47</v>
      </c>
      <c r="L25" s="12" t="s">
        <v>13</v>
      </c>
      <c r="M25" s="19" t="s">
        <v>238</v>
      </c>
      <c r="N25" s="12" t="s">
        <v>239</v>
      </c>
      <c r="O25" s="12" t="s">
        <v>307</v>
      </c>
      <c r="P25" s="12" t="s">
        <v>277</v>
      </c>
    </row>
    <row r="26" spans="1:16" x14ac:dyDescent="0.25">
      <c r="A26" s="12" t="s">
        <v>308</v>
      </c>
      <c r="B26" s="12" t="s">
        <v>184</v>
      </c>
      <c r="C26" s="12" t="s">
        <v>4</v>
      </c>
      <c r="D26" s="12" t="s">
        <v>275</v>
      </c>
      <c r="E26" s="18" t="s">
        <v>233</v>
      </c>
      <c r="F26" s="12" t="s">
        <v>234</v>
      </c>
      <c r="G26" s="12" t="s">
        <v>235</v>
      </c>
      <c r="H26" s="12" t="s">
        <v>245</v>
      </c>
      <c r="I26" s="12" t="s">
        <v>236</v>
      </c>
      <c r="J26" s="12" t="s">
        <v>6</v>
      </c>
      <c r="K26" s="12" t="s">
        <v>47</v>
      </c>
      <c r="L26" s="12" t="s">
        <v>13</v>
      </c>
      <c r="M26" s="19" t="s">
        <v>238</v>
      </c>
      <c r="N26" s="12" t="s">
        <v>239</v>
      </c>
      <c r="O26" s="12" t="s">
        <v>309</v>
      </c>
      <c r="P26" s="12" t="s">
        <v>277</v>
      </c>
    </row>
    <row r="27" spans="1:16" x14ac:dyDescent="0.25">
      <c r="A27" s="12" t="s">
        <v>310</v>
      </c>
      <c r="B27" s="12" t="s">
        <v>185</v>
      </c>
      <c r="C27" s="12" t="s">
        <v>4</v>
      </c>
      <c r="D27" s="12" t="s">
        <v>275</v>
      </c>
      <c r="E27" s="18" t="s">
        <v>233</v>
      </c>
      <c r="F27" s="12" t="s">
        <v>234</v>
      </c>
      <c r="G27" s="12" t="s">
        <v>245</v>
      </c>
      <c r="H27" s="12" t="s">
        <v>246</v>
      </c>
      <c r="I27" s="12" t="s">
        <v>236</v>
      </c>
      <c r="J27" s="12" t="s">
        <v>6</v>
      </c>
      <c r="K27" s="12" t="s">
        <v>47</v>
      </c>
      <c r="L27" s="12" t="s">
        <v>13</v>
      </c>
      <c r="M27" s="19" t="s">
        <v>238</v>
      </c>
      <c r="N27" s="12" t="s">
        <v>239</v>
      </c>
      <c r="O27" s="12" t="s">
        <v>311</v>
      </c>
      <c r="P27" s="12" t="s">
        <v>277</v>
      </c>
    </row>
    <row r="28" spans="1:16" x14ac:dyDescent="0.25">
      <c r="A28" s="12" t="s">
        <v>312</v>
      </c>
      <c r="B28" s="12" t="s">
        <v>186</v>
      </c>
      <c r="C28" s="12" t="s">
        <v>4</v>
      </c>
      <c r="D28" s="12" t="s">
        <v>275</v>
      </c>
      <c r="E28" s="18" t="s">
        <v>233</v>
      </c>
      <c r="F28" s="12" t="s">
        <v>234</v>
      </c>
      <c r="G28" s="12" t="s">
        <v>235</v>
      </c>
      <c r="H28" s="12" t="s">
        <v>245</v>
      </c>
      <c r="I28" s="12" t="s">
        <v>236</v>
      </c>
      <c r="J28" s="12" t="s">
        <v>6</v>
      </c>
      <c r="K28" s="12" t="s">
        <v>47</v>
      </c>
      <c r="L28" s="12" t="s">
        <v>13</v>
      </c>
      <c r="M28" s="19" t="s">
        <v>238</v>
      </c>
      <c r="N28" s="12" t="s">
        <v>239</v>
      </c>
      <c r="O28" s="12" t="s">
        <v>313</v>
      </c>
      <c r="P28" s="12" t="s">
        <v>277</v>
      </c>
    </row>
    <row r="29" spans="1:16" x14ac:dyDescent="0.25">
      <c r="A29" s="12" t="s">
        <v>314</v>
      </c>
      <c r="B29" s="12" t="s">
        <v>188</v>
      </c>
      <c r="C29" s="12" t="s">
        <v>4</v>
      </c>
      <c r="D29" s="12" t="s">
        <v>315</v>
      </c>
      <c r="E29" s="18" t="s">
        <v>233</v>
      </c>
      <c r="F29" s="12" t="s">
        <v>234</v>
      </c>
      <c r="G29" s="12" t="s">
        <v>235</v>
      </c>
      <c r="H29" s="12" t="s">
        <v>245</v>
      </c>
      <c r="I29" s="12" t="s">
        <v>236</v>
      </c>
      <c r="J29" s="12" t="s">
        <v>6</v>
      </c>
      <c r="K29" s="12" t="s">
        <v>47</v>
      </c>
      <c r="L29" s="12" t="s">
        <v>13</v>
      </c>
      <c r="M29" s="19" t="s">
        <v>238</v>
      </c>
      <c r="N29" s="12" t="s">
        <v>239</v>
      </c>
      <c r="O29" s="12" t="s">
        <v>316</v>
      </c>
      <c r="P29" s="12" t="s">
        <v>277</v>
      </c>
    </row>
    <row r="30" spans="1:16" x14ac:dyDescent="0.25">
      <c r="A30" s="12" t="s">
        <v>317</v>
      </c>
      <c r="B30" s="12" t="s">
        <v>189</v>
      </c>
      <c r="C30" s="12" t="s">
        <v>4</v>
      </c>
      <c r="D30" s="12" t="s">
        <v>290</v>
      </c>
      <c r="E30" s="18" t="s">
        <v>233</v>
      </c>
      <c r="F30" s="12" t="s">
        <v>234</v>
      </c>
      <c r="G30" s="12" t="s">
        <v>235</v>
      </c>
      <c r="H30" s="12" t="s">
        <v>245</v>
      </c>
      <c r="I30" s="12" t="s">
        <v>236</v>
      </c>
      <c r="J30" s="12" t="s">
        <v>6</v>
      </c>
      <c r="K30" s="12" t="s">
        <v>47</v>
      </c>
      <c r="L30" s="12" t="s">
        <v>13</v>
      </c>
      <c r="M30" s="19" t="s">
        <v>238</v>
      </c>
      <c r="N30" s="12" t="s">
        <v>239</v>
      </c>
      <c r="O30" s="12" t="s">
        <v>318</v>
      </c>
      <c r="P30" s="12" t="s">
        <v>277</v>
      </c>
    </row>
    <row r="31" spans="1:16" x14ac:dyDescent="0.25">
      <c r="A31" s="12" t="s">
        <v>319</v>
      </c>
      <c r="B31" s="12" t="s">
        <v>190</v>
      </c>
      <c r="C31" s="12" t="s">
        <v>4</v>
      </c>
      <c r="D31" s="12" t="s">
        <v>315</v>
      </c>
      <c r="E31" s="18" t="s">
        <v>233</v>
      </c>
      <c r="F31" s="12" t="s">
        <v>234</v>
      </c>
      <c r="G31" s="12" t="s">
        <v>235</v>
      </c>
      <c r="H31" s="12" t="s">
        <v>245</v>
      </c>
      <c r="I31" s="12" t="s">
        <v>236</v>
      </c>
      <c r="J31" s="12" t="s">
        <v>6</v>
      </c>
      <c r="K31" s="12" t="s">
        <v>47</v>
      </c>
      <c r="L31" s="12" t="s">
        <v>13</v>
      </c>
      <c r="M31" s="19" t="s">
        <v>238</v>
      </c>
      <c r="N31" s="12" t="s">
        <v>239</v>
      </c>
      <c r="O31" s="12" t="s">
        <v>320</v>
      </c>
      <c r="P31" s="12" t="s">
        <v>277</v>
      </c>
    </row>
    <row r="32" spans="1:16" x14ac:dyDescent="0.25">
      <c r="A32" s="12" t="s">
        <v>321</v>
      </c>
      <c r="B32" s="12" t="s">
        <v>191</v>
      </c>
      <c r="C32" s="12" t="s">
        <v>4</v>
      </c>
      <c r="D32" s="12" t="s">
        <v>315</v>
      </c>
      <c r="E32" s="18" t="s">
        <v>233</v>
      </c>
      <c r="F32" s="12" t="s">
        <v>234</v>
      </c>
      <c r="G32" s="12" t="s">
        <v>235</v>
      </c>
      <c r="H32" s="12" t="s">
        <v>246</v>
      </c>
      <c r="I32" s="12" t="s">
        <v>236</v>
      </c>
      <c r="J32" s="12" t="s">
        <v>6</v>
      </c>
      <c r="K32" s="12" t="s">
        <v>47</v>
      </c>
      <c r="L32" s="12" t="s">
        <v>13</v>
      </c>
      <c r="M32" s="19" t="s">
        <v>238</v>
      </c>
      <c r="N32" s="12" t="s">
        <v>239</v>
      </c>
      <c r="O32" s="12" t="s">
        <v>322</v>
      </c>
      <c r="P32" s="12" t="s">
        <v>277</v>
      </c>
    </row>
    <row r="33" spans="1:16" x14ac:dyDescent="0.25">
      <c r="A33" s="12" t="s">
        <v>323</v>
      </c>
      <c r="B33" s="12" t="s">
        <v>192</v>
      </c>
      <c r="C33" s="12" t="s">
        <v>4</v>
      </c>
      <c r="D33" s="12" t="s">
        <v>290</v>
      </c>
      <c r="E33" s="18" t="s">
        <v>233</v>
      </c>
      <c r="F33" s="12" t="s">
        <v>234</v>
      </c>
      <c r="G33" s="12" t="s">
        <v>235</v>
      </c>
      <c r="H33" s="12" t="s">
        <v>246</v>
      </c>
      <c r="I33" s="12" t="s">
        <v>236</v>
      </c>
      <c r="J33" s="12" t="s">
        <v>6</v>
      </c>
      <c r="K33" s="12" t="s">
        <v>47</v>
      </c>
      <c r="L33" s="12" t="s">
        <v>13</v>
      </c>
      <c r="M33" s="19" t="s">
        <v>238</v>
      </c>
      <c r="N33" s="12" t="s">
        <v>239</v>
      </c>
      <c r="O33" s="12" t="s">
        <v>324</v>
      </c>
      <c r="P33" s="12" t="s">
        <v>277</v>
      </c>
    </row>
    <row r="34" spans="1:16" x14ac:dyDescent="0.25">
      <c r="A34" s="12" t="s">
        <v>325</v>
      </c>
      <c r="B34" s="12" t="s">
        <v>193</v>
      </c>
      <c r="C34" s="12" t="s">
        <v>4</v>
      </c>
      <c r="D34" s="12" t="s">
        <v>290</v>
      </c>
      <c r="E34" s="18" t="s">
        <v>233</v>
      </c>
      <c r="F34" s="12" t="s">
        <v>234</v>
      </c>
      <c r="G34" s="12" t="s">
        <v>235</v>
      </c>
      <c r="H34" s="12" t="s">
        <v>245</v>
      </c>
      <c r="I34" s="12" t="s">
        <v>236</v>
      </c>
      <c r="J34" s="12" t="s">
        <v>6</v>
      </c>
      <c r="K34" s="12" t="s">
        <v>47</v>
      </c>
      <c r="L34" s="12" t="s">
        <v>13</v>
      </c>
      <c r="M34" s="19" t="s">
        <v>238</v>
      </c>
      <c r="N34" s="12" t="s">
        <v>239</v>
      </c>
      <c r="O34" s="12" t="s">
        <v>326</v>
      </c>
      <c r="P34" s="12" t="s">
        <v>277</v>
      </c>
    </row>
    <row r="35" spans="1:16" x14ac:dyDescent="0.25">
      <c r="A35" s="12" t="s">
        <v>327</v>
      </c>
      <c r="B35" s="12" t="s">
        <v>194</v>
      </c>
      <c r="C35" s="12" t="s">
        <v>4</v>
      </c>
      <c r="D35" s="12" t="s">
        <v>290</v>
      </c>
      <c r="E35" s="18" t="s">
        <v>233</v>
      </c>
      <c r="F35" s="12" t="s">
        <v>234</v>
      </c>
      <c r="G35" s="12" t="s">
        <v>235</v>
      </c>
      <c r="H35" s="12" t="s">
        <v>245</v>
      </c>
      <c r="I35" s="12" t="s">
        <v>236</v>
      </c>
      <c r="J35" s="12" t="s">
        <v>6</v>
      </c>
      <c r="K35" s="12" t="s">
        <v>47</v>
      </c>
      <c r="L35" s="12" t="s">
        <v>13</v>
      </c>
      <c r="M35" s="19" t="s">
        <v>238</v>
      </c>
      <c r="N35" s="12" t="s">
        <v>239</v>
      </c>
      <c r="O35" s="12" t="s">
        <v>328</v>
      </c>
      <c r="P35" s="12" t="s">
        <v>277</v>
      </c>
    </row>
    <row r="36" spans="1:16" x14ac:dyDescent="0.25">
      <c r="A36" s="12" t="s">
        <v>329</v>
      </c>
      <c r="B36" s="12" t="s">
        <v>195</v>
      </c>
      <c r="C36" s="12" t="s">
        <v>4</v>
      </c>
      <c r="D36" s="12" t="s">
        <v>290</v>
      </c>
      <c r="E36" s="18" t="s">
        <v>233</v>
      </c>
      <c r="F36" s="12" t="s">
        <v>234</v>
      </c>
      <c r="G36" s="12" t="s">
        <v>235</v>
      </c>
      <c r="H36" s="12" t="s">
        <v>246</v>
      </c>
      <c r="I36" s="12" t="s">
        <v>236</v>
      </c>
      <c r="J36" s="12" t="s">
        <v>6</v>
      </c>
      <c r="K36" s="12" t="s">
        <v>47</v>
      </c>
      <c r="L36" s="12" t="s">
        <v>13</v>
      </c>
      <c r="M36" s="19" t="s">
        <v>238</v>
      </c>
      <c r="N36" s="12" t="s">
        <v>239</v>
      </c>
      <c r="O36" s="12" t="s">
        <v>330</v>
      </c>
      <c r="P36" s="12" t="s">
        <v>277</v>
      </c>
    </row>
    <row r="37" spans="1:16" x14ac:dyDescent="0.25">
      <c r="A37" s="12" t="s">
        <v>331</v>
      </c>
      <c r="B37" s="12" t="s">
        <v>196</v>
      </c>
      <c r="C37" s="12" t="s">
        <v>4</v>
      </c>
      <c r="D37" s="12" t="s">
        <v>290</v>
      </c>
      <c r="E37" s="18" t="s">
        <v>233</v>
      </c>
      <c r="F37" s="12" t="s">
        <v>234</v>
      </c>
      <c r="G37" s="12" t="s">
        <v>235</v>
      </c>
      <c r="H37" s="12" t="s">
        <v>246</v>
      </c>
      <c r="I37" s="12" t="s">
        <v>236</v>
      </c>
      <c r="J37" s="12" t="s">
        <v>6</v>
      </c>
      <c r="K37" s="12" t="s">
        <v>47</v>
      </c>
      <c r="L37" s="12" t="s">
        <v>13</v>
      </c>
      <c r="M37" s="19" t="s">
        <v>238</v>
      </c>
      <c r="N37" s="12" t="s">
        <v>239</v>
      </c>
      <c r="O37" s="12" t="s">
        <v>332</v>
      </c>
      <c r="P37" s="12" t="s">
        <v>277</v>
      </c>
    </row>
    <row r="38" spans="1:16" x14ac:dyDescent="0.25">
      <c r="A38" s="12" t="s">
        <v>333</v>
      </c>
      <c r="B38" s="12" t="s">
        <v>197</v>
      </c>
      <c r="C38" s="12" t="s">
        <v>4</v>
      </c>
      <c r="D38" s="12" t="s">
        <v>290</v>
      </c>
      <c r="E38" s="18" t="s">
        <v>233</v>
      </c>
      <c r="F38" s="12" t="s">
        <v>234</v>
      </c>
      <c r="G38" s="12" t="s">
        <v>235</v>
      </c>
      <c r="H38" s="12" t="s">
        <v>246</v>
      </c>
      <c r="I38" s="12" t="s">
        <v>236</v>
      </c>
      <c r="J38" s="12" t="s">
        <v>6</v>
      </c>
      <c r="K38" s="12" t="s">
        <v>47</v>
      </c>
      <c r="L38" s="12" t="s">
        <v>13</v>
      </c>
      <c r="M38" s="19" t="s">
        <v>238</v>
      </c>
      <c r="N38" s="12" t="s">
        <v>239</v>
      </c>
      <c r="O38" s="12" t="s">
        <v>334</v>
      </c>
      <c r="P38" s="12" t="s">
        <v>277</v>
      </c>
    </row>
    <row r="39" spans="1:16" x14ac:dyDescent="0.25">
      <c r="A39" s="12" t="s">
        <v>335</v>
      </c>
      <c r="B39" s="12" t="s">
        <v>198</v>
      </c>
      <c r="C39" s="12" t="s">
        <v>4</v>
      </c>
      <c r="D39" s="12" t="s">
        <v>290</v>
      </c>
      <c r="E39" s="18" t="s">
        <v>233</v>
      </c>
      <c r="F39" s="12" t="s">
        <v>234</v>
      </c>
      <c r="G39" s="12" t="s">
        <v>235</v>
      </c>
      <c r="H39" s="12" t="s">
        <v>246</v>
      </c>
      <c r="I39" s="12" t="s">
        <v>236</v>
      </c>
      <c r="J39" s="12" t="s">
        <v>6</v>
      </c>
      <c r="K39" s="12" t="s">
        <v>47</v>
      </c>
      <c r="L39" s="12" t="s">
        <v>13</v>
      </c>
      <c r="M39" s="19" t="s">
        <v>238</v>
      </c>
      <c r="N39" s="12" t="s">
        <v>239</v>
      </c>
      <c r="O39" s="12" t="s">
        <v>336</v>
      </c>
      <c r="P39" s="12" t="s">
        <v>277</v>
      </c>
    </row>
    <row r="40" spans="1:16" x14ac:dyDescent="0.25">
      <c r="A40" s="12" t="s">
        <v>337</v>
      </c>
      <c r="B40" s="12" t="s">
        <v>199</v>
      </c>
      <c r="C40" s="12" t="s">
        <v>4</v>
      </c>
      <c r="D40" s="12" t="s">
        <v>315</v>
      </c>
      <c r="E40" s="18" t="s">
        <v>233</v>
      </c>
      <c r="F40" s="12" t="s">
        <v>234</v>
      </c>
      <c r="G40" s="12" t="s">
        <v>235</v>
      </c>
      <c r="H40" s="12" t="s">
        <v>246</v>
      </c>
      <c r="I40" s="12" t="s">
        <v>236</v>
      </c>
      <c r="J40" s="12" t="s">
        <v>6</v>
      </c>
      <c r="K40" s="12" t="s">
        <v>47</v>
      </c>
      <c r="L40" s="12" t="s">
        <v>13</v>
      </c>
      <c r="M40" s="19" t="s">
        <v>238</v>
      </c>
      <c r="N40" s="12" t="s">
        <v>239</v>
      </c>
      <c r="O40" s="12" t="s">
        <v>338</v>
      </c>
      <c r="P40" s="12" t="s">
        <v>277</v>
      </c>
    </row>
    <row r="41" spans="1:16" x14ac:dyDescent="0.25">
      <c r="A41" s="12" t="s">
        <v>339</v>
      </c>
      <c r="B41" s="12" t="s">
        <v>200</v>
      </c>
      <c r="C41" s="12" t="s">
        <v>4</v>
      </c>
      <c r="D41" s="12" t="s">
        <v>315</v>
      </c>
      <c r="E41" s="18" t="s">
        <v>233</v>
      </c>
      <c r="F41" s="12" t="s">
        <v>234</v>
      </c>
      <c r="G41" s="12" t="s">
        <v>235</v>
      </c>
      <c r="H41" s="12" t="s">
        <v>246</v>
      </c>
      <c r="I41" s="12" t="s">
        <v>236</v>
      </c>
      <c r="J41" s="12" t="s">
        <v>6</v>
      </c>
      <c r="K41" s="12" t="s">
        <v>47</v>
      </c>
      <c r="L41" s="12" t="s">
        <v>13</v>
      </c>
      <c r="M41" s="19" t="s">
        <v>238</v>
      </c>
      <c r="N41" s="12" t="s">
        <v>239</v>
      </c>
      <c r="O41" s="12" t="s">
        <v>340</v>
      </c>
      <c r="P41" s="12" t="s">
        <v>277</v>
      </c>
    </row>
    <row r="42" spans="1:16" x14ac:dyDescent="0.25">
      <c r="A42" s="12" t="s">
        <v>341</v>
      </c>
      <c r="B42" s="12" t="s">
        <v>201</v>
      </c>
      <c r="C42" s="12" t="s">
        <v>4</v>
      </c>
      <c r="D42" s="12" t="s">
        <v>315</v>
      </c>
      <c r="E42" s="18" t="s">
        <v>233</v>
      </c>
      <c r="F42" s="12" t="s">
        <v>234</v>
      </c>
      <c r="G42" s="12" t="s">
        <v>235</v>
      </c>
      <c r="H42" s="12" t="s">
        <v>246</v>
      </c>
      <c r="I42" s="12" t="s">
        <v>236</v>
      </c>
      <c r="J42" s="12" t="s">
        <v>6</v>
      </c>
      <c r="K42" s="12" t="s">
        <v>47</v>
      </c>
      <c r="L42" s="12" t="s">
        <v>13</v>
      </c>
      <c r="M42" s="19" t="s">
        <v>238</v>
      </c>
      <c r="N42" s="12" t="s">
        <v>239</v>
      </c>
      <c r="O42" s="12" t="s">
        <v>342</v>
      </c>
      <c r="P42" s="12" t="s">
        <v>277</v>
      </c>
    </row>
    <row r="43" spans="1:16" x14ac:dyDescent="0.25">
      <c r="A43" s="12" t="s">
        <v>343</v>
      </c>
      <c r="B43" s="12" t="s">
        <v>208</v>
      </c>
      <c r="C43" s="12" t="s">
        <v>4</v>
      </c>
      <c r="D43" s="12" t="s">
        <v>315</v>
      </c>
      <c r="E43" s="18" t="s">
        <v>233</v>
      </c>
      <c r="F43" s="12" t="s">
        <v>234</v>
      </c>
      <c r="G43" s="12" t="s">
        <v>235</v>
      </c>
      <c r="H43" s="12" t="s">
        <v>245</v>
      </c>
      <c r="I43" s="12" t="s">
        <v>236</v>
      </c>
      <c r="J43" s="12" t="s">
        <v>6</v>
      </c>
      <c r="K43" s="12" t="s">
        <v>47</v>
      </c>
      <c r="L43" s="12" t="s">
        <v>13</v>
      </c>
      <c r="M43" s="19" t="s">
        <v>238</v>
      </c>
      <c r="N43" s="12" t="s">
        <v>239</v>
      </c>
      <c r="O43" s="12" t="s">
        <v>344</v>
      </c>
      <c r="P43" s="12" t="s">
        <v>277</v>
      </c>
    </row>
    <row r="44" spans="1:16" x14ac:dyDescent="0.25">
      <c r="A44" s="12" t="s">
        <v>345</v>
      </c>
      <c r="B44" s="12" t="s">
        <v>209</v>
      </c>
      <c r="C44" s="12" t="s">
        <v>4</v>
      </c>
      <c r="D44" s="12" t="s">
        <v>315</v>
      </c>
      <c r="E44" s="18" t="s">
        <v>233</v>
      </c>
      <c r="F44" s="12" t="s">
        <v>234</v>
      </c>
      <c r="G44" s="12" t="s">
        <v>235</v>
      </c>
      <c r="H44" s="12" t="s">
        <v>246</v>
      </c>
      <c r="I44" s="12" t="s">
        <v>236</v>
      </c>
      <c r="J44" s="12" t="s">
        <v>6</v>
      </c>
      <c r="K44" s="12" t="s">
        <v>47</v>
      </c>
      <c r="L44" s="12" t="s">
        <v>13</v>
      </c>
      <c r="M44" s="19" t="s">
        <v>238</v>
      </c>
      <c r="N44" s="12" t="s">
        <v>239</v>
      </c>
      <c r="O44" s="12" t="s">
        <v>346</v>
      </c>
      <c r="P44" s="12" t="s">
        <v>277</v>
      </c>
    </row>
    <row r="45" spans="1:16" x14ac:dyDescent="0.25">
      <c r="A45" s="12" t="s">
        <v>347</v>
      </c>
      <c r="B45" s="12" t="s">
        <v>210</v>
      </c>
      <c r="C45" s="12" t="s">
        <v>4</v>
      </c>
      <c r="D45" s="12" t="s">
        <v>285</v>
      </c>
      <c r="E45" s="18" t="s">
        <v>233</v>
      </c>
      <c r="F45" s="12" t="s">
        <v>234</v>
      </c>
      <c r="G45" s="12" t="s">
        <v>245</v>
      </c>
      <c r="H45" s="12" t="s">
        <v>246</v>
      </c>
      <c r="I45" s="12" t="s">
        <v>236</v>
      </c>
      <c r="J45" s="12" t="s">
        <v>6</v>
      </c>
      <c r="K45" s="12" t="s">
        <v>47</v>
      </c>
      <c r="L45" s="12" t="s">
        <v>13</v>
      </c>
      <c r="M45" s="19" t="s">
        <v>238</v>
      </c>
      <c r="N45" s="12" t="s">
        <v>239</v>
      </c>
      <c r="O45" s="12" t="s">
        <v>348</v>
      </c>
      <c r="P45" s="12" t="s">
        <v>277</v>
      </c>
    </row>
    <row r="46" spans="1:16" x14ac:dyDescent="0.25">
      <c r="A46" s="12" t="s">
        <v>349</v>
      </c>
      <c r="B46" s="12" t="s">
        <v>211</v>
      </c>
      <c r="C46" s="12" t="s">
        <v>4</v>
      </c>
      <c r="D46" s="12" t="s">
        <v>285</v>
      </c>
      <c r="E46" s="18" t="s">
        <v>233</v>
      </c>
      <c r="F46" s="12" t="s">
        <v>234</v>
      </c>
      <c r="G46" s="12" t="s">
        <v>245</v>
      </c>
      <c r="H46" s="12" t="s">
        <v>246</v>
      </c>
      <c r="I46" s="12" t="s">
        <v>236</v>
      </c>
      <c r="J46" s="12" t="s">
        <v>6</v>
      </c>
      <c r="K46" s="12" t="s">
        <v>47</v>
      </c>
      <c r="L46" s="12" t="s">
        <v>13</v>
      </c>
      <c r="M46" s="19" t="s">
        <v>238</v>
      </c>
      <c r="N46" s="12" t="s">
        <v>239</v>
      </c>
      <c r="O46" s="12" t="s">
        <v>350</v>
      </c>
      <c r="P46" s="12" t="s">
        <v>277</v>
      </c>
    </row>
    <row r="47" spans="1:16" x14ac:dyDescent="0.25">
      <c r="A47" s="12" t="s">
        <v>351</v>
      </c>
      <c r="B47" s="12" t="s">
        <v>213</v>
      </c>
      <c r="C47" s="12" t="s">
        <v>4</v>
      </c>
      <c r="D47" s="12" t="s">
        <v>315</v>
      </c>
      <c r="E47" s="18" t="s">
        <v>233</v>
      </c>
      <c r="F47" s="12" t="s">
        <v>234</v>
      </c>
      <c r="G47" s="12" t="s">
        <v>235</v>
      </c>
      <c r="H47" s="12" t="s">
        <v>235</v>
      </c>
      <c r="I47" s="12" t="s">
        <v>236</v>
      </c>
      <c r="J47" s="12" t="s">
        <v>6</v>
      </c>
      <c r="K47" s="12" t="s">
        <v>47</v>
      </c>
      <c r="L47" s="12" t="s">
        <v>13</v>
      </c>
      <c r="M47" s="19" t="s">
        <v>238</v>
      </c>
      <c r="N47" s="12" t="s">
        <v>239</v>
      </c>
      <c r="O47" s="12" t="s">
        <v>352</v>
      </c>
      <c r="P47" s="12" t="s">
        <v>277</v>
      </c>
    </row>
    <row r="48" spans="1:16" x14ac:dyDescent="0.25">
      <c r="A48" s="12" t="s">
        <v>353</v>
      </c>
      <c r="B48" s="12" t="s">
        <v>215</v>
      </c>
      <c r="C48" s="12" t="s">
        <v>4</v>
      </c>
      <c r="D48" s="12" t="s">
        <v>290</v>
      </c>
      <c r="E48" s="18" t="s">
        <v>233</v>
      </c>
      <c r="F48" s="12" t="s">
        <v>234</v>
      </c>
      <c r="G48" s="12" t="s">
        <v>245</v>
      </c>
      <c r="H48" s="12" t="s">
        <v>246</v>
      </c>
      <c r="I48" s="12" t="s">
        <v>236</v>
      </c>
      <c r="J48" s="12" t="s">
        <v>6</v>
      </c>
      <c r="K48" s="12" t="s">
        <v>47</v>
      </c>
      <c r="L48" s="12" t="s">
        <v>13</v>
      </c>
      <c r="M48" s="19" t="s">
        <v>238</v>
      </c>
      <c r="N48" s="12" t="s">
        <v>239</v>
      </c>
      <c r="O48" s="12" t="s">
        <v>354</v>
      </c>
      <c r="P48" s="12" t="s">
        <v>277</v>
      </c>
    </row>
    <row r="49" spans="1:16" x14ac:dyDescent="0.25">
      <c r="A49" s="12" t="s">
        <v>355</v>
      </c>
      <c r="B49" s="12" t="s">
        <v>216</v>
      </c>
      <c r="C49" s="12" t="s">
        <v>4</v>
      </c>
      <c r="D49" s="12" t="s">
        <v>275</v>
      </c>
      <c r="E49" s="18" t="s">
        <v>233</v>
      </c>
      <c r="F49" s="12" t="s">
        <v>234</v>
      </c>
      <c r="G49" s="12" t="s">
        <v>235</v>
      </c>
      <c r="H49" s="12" t="s">
        <v>246</v>
      </c>
      <c r="I49" s="12" t="s">
        <v>236</v>
      </c>
      <c r="J49" s="12" t="s">
        <v>6</v>
      </c>
      <c r="K49" s="12" t="s">
        <v>47</v>
      </c>
      <c r="L49" s="12" t="s">
        <v>13</v>
      </c>
      <c r="M49" s="19" t="s">
        <v>238</v>
      </c>
      <c r="N49" s="12" t="s">
        <v>239</v>
      </c>
      <c r="O49" s="12" t="s">
        <v>356</v>
      </c>
      <c r="P49" s="12" t="s">
        <v>277</v>
      </c>
    </row>
    <row r="50" spans="1:16" x14ac:dyDescent="0.25">
      <c r="A50" s="12" t="s">
        <v>357</v>
      </c>
      <c r="B50" s="12" t="s">
        <v>44</v>
      </c>
      <c r="C50" s="12" t="s">
        <v>4</v>
      </c>
      <c r="D50" s="12" t="s">
        <v>358</v>
      </c>
      <c r="E50" s="18" t="s">
        <v>233</v>
      </c>
      <c r="F50" s="12" t="s">
        <v>234</v>
      </c>
      <c r="G50" s="12" t="s">
        <v>245</v>
      </c>
      <c r="H50" s="12" t="s">
        <v>245</v>
      </c>
      <c r="I50" s="12" t="s">
        <v>236</v>
      </c>
      <c r="J50" s="12" t="s">
        <v>6</v>
      </c>
      <c r="K50" s="12" t="s">
        <v>47</v>
      </c>
      <c r="L50" s="12" t="s">
        <v>13</v>
      </c>
      <c r="M50" s="19" t="s">
        <v>238</v>
      </c>
      <c r="N50" s="12" t="s">
        <v>239</v>
      </c>
      <c r="O50" s="12" t="s">
        <v>359</v>
      </c>
      <c r="P50" s="12" t="s">
        <v>277</v>
      </c>
    </row>
    <row r="51" spans="1:16" x14ac:dyDescent="0.25">
      <c r="A51" s="12" t="s">
        <v>360</v>
      </c>
      <c r="B51" s="12" t="s">
        <v>64</v>
      </c>
      <c r="C51" s="12" t="s">
        <v>4</v>
      </c>
      <c r="D51" s="12" t="s">
        <v>282</v>
      </c>
      <c r="E51" s="18" t="s">
        <v>233</v>
      </c>
      <c r="F51" s="12" t="s">
        <v>234</v>
      </c>
      <c r="G51" s="12" t="s">
        <v>246</v>
      </c>
      <c r="H51" s="12" t="s">
        <v>246</v>
      </c>
      <c r="I51" s="12" t="s">
        <v>236</v>
      </c>
      <c r="J51" s="12" t="s">
        <v>6</v>
      </c>
      <c r="K51" s="12" t="s">
        <v>47</v>
      </c>
      <c r="L51" s="12" t="s">
        <v>13</v>
      </c>
      <c r="M51" s="19" t="s">
        <v>238</v>
      </c>
      <c r="N51" s="12" t="s">
        <v>239</v>
      </c>
      <c r="O51" s="12" t="s">
        <v>361</v>
      </c>
      <c r="P51" s="12" t="s">
        <v>277</v>
      </c>
    </row>
    <row r="52" spans="1:16" x14ac:dyDescent="0.25">
      <c r="A52" s="12" t="s">
        <v>362</v>
      </c>
      <c r="B52" s="12" t="s">
        <v>67</v>
      </c>
      <c r="C52" s="12" t="s">
        <v>4</v>
      </c>
      <c r="D52" s="12" t="s">
        <v>290</v>
      </c>
      <c r="E52" s="18" t="s">
        <v>233</v>
      </c>
      <c r="F52" s="12" t="s">
        <v>234</v>
      </c>
      <c r="G52" s="12" t="s">
        <v>246</v>
      </c>
      <c r="H52" s="12" t="s">
        <v>246</v>
      </c>
      <c r="I52" s="12" t="s">
        <v>236</v>
      </c>
      <c r="J52" s="12" t="s">
        <v>6</v>
      </c>
      <c r="K52" s="12" t="s">
        <v>47</v>
      </c>
      <c r="L52" s="12" t="s">
        <v>13</v>
      </c>
      <c r="M52" s="19" t="s">
        <v>238</v>
      </c>
      <c r="N52" s="12" t="s">
        <v>239</v>
      </c>
      <c r="O52" s="12" t="s">
        <v>363</v>
      </c>
      <c r="P52" s="12" t="s">
        <v>277</v>
      </c>
    </row>
    <row r="53" spans="1:16" x14ac:dyDescent="0.25">
      <c r="A53" s="12" t="s">
        <v>364</v>
      </c>
      <c r="B53" s="12" t="s">
        <v>68</v>
      </c>
      <c r="C53" s="12" t="s">
        <v>4</v>
      </c>
      <c r="D53" s="12" t="s">
        <v>275</v>
      </c>
      <c r="E53" s="18" t="s">
        <v>233</v>
      </c>
      <c r="F53" s="12" t="s">
        <v>234</v>
      </c>
      <c r="G53" s="12" t="s">
        <v>246</v>
      </c>
      <c r="H53" s="12" t="s">
        <v>246</v>
      </c>
      <c r="I53" s="12" t="s">
        <v>236</v>
      </c>
      <c r="J53" s="12" t="s">
        <v>6</v>
      </c>
      <c r="K53" s="12" t="s">
        <v>47</v>
      </c>
      <c r="L53" s="12" t="s">
        <v>13</v>
      </c>
      <c r="M53" s="19" t="s">
        <v>238</v>
      </c>
      <c r="N53" s="12" t="s">
        <v>239</v>
      </c>
      <c r="O53" s="12" t="s">
        <v>365</v>
      </c>
      <c r="P53" s="12" t="s">
        <v>277</v>
      </c>
    </row>
    <row r="54" spans="1:16" x14ac:dyDescent="0.25">
      <c r="A54" s="12" t="s">
        <v>366</v>
      </c>
      <c r="B54" s="12" t="s">
        <v>77</v>
      </c>
      <c r="C54" s="12" t="s">
        <v>4</v>
      </c>
      <c r="D54" s="12" t="s">
        <v>282</v>
      </c>
      <c r="E54" s="18" t="s">
        <v>233</v>
      </c>
      <c r="F54" s="12" t="s">
        <v>234</v>
      </c>
      <c r="G54" s="12" t="s">
        <v>367</v>
      </c>
      <c r="H54" s="12" t="s">
        <v>246</v>
      </c>
      <c r="I54" s="12" t="s">
        <v>236</v>
      </c>
      <c r="J54" s="12" t="s">
        <v>6</v>
      </c>
      <c r="K54" s="12" t="s">
        <v>47</v>
      </c>
      <c r="L54" s="12" t="s">
        <v>13</v>
      </c>
      <c r="M54" s="19" t="s">
        <v>238</v>
      </c>
      <c r="N54" s="12" t="s">
        <v>239</v>
      </c>
      <c r="O54" s="12" t="s">
        <v>368</v>
      </c>
      <c r="P54" s="12" t="s">
        <v>277</v>
      </c>
    </row>
    <row r="55" spans="1:16" x14ac:dyDescent="0.25">
      <c r="A55" s="12" t="s">
        <v>369</v>
      </c>
      <c r="B55" s="12" t="s">
        <v>80</v>
      </c>
      <c r="C55" s="12" t="s">
        <v>4</v>
      </c>
      <c r="D55" s="12" t="s">
        <v>282</v>
      </c>
      <c r="E55" s="18" t="s">
        <v>233</v>
      </c>
      <c r="F55" s="12" t="s">
        <v>234</v>
      </c>
      <c r="G55" s="12" t="s">
        <v>367</v>
      </c>
      <c r="H55" s="12" t="s">
        <v>246</v>
      </c>
      <c r="I55" s="12" t="s">
        <v>236</v>
      </c>
      <c r="J55" s="12" t="s">
        <v>6</v>
      </c>
      <c r="K55" s="12" t="s">
        <v>47</v>
      </c>
      <c r="L55" s="12" t="s">
        <v>13</v>
      </c>
      <c r="M55" s="19" t="s">
        <v>238</v>
      </c>
      <c r="N55" s="12" t="s">
        <v>239</v>
      </c>
      <c r="O55" s="12" t="s">
        <v>370</v>
      </c>
      <c r="P55" s="12" t="s">
        <v>277</v>
      </c>
    </row>
    <row r="56" spans="1:16" x14ac:dyDescent="0.25">
      <c r="A56" s="12" t="s">
        <v>371</v>
      </c>
      <c r="B56" s="12" t="s">
        <v>82</v>
      </c>
      <c r="C56" s="12" t="s">
        <v>4</v>
      </c>
      <c r="D56" s="12" t="s">
        <v>282</v>
      </c>
      <c r="E56" s="18" t="s">
        <v>233</v>
      </c>
      <c r="F56" s="12" t="s">
        <v>234</v>
      </c>
      <c r="G56" s="12" t="s">
        <v>367</v>
      </c>
      <c r="H56" s="12" t="s">
        <v>246</v>
      </c>
      <c r="I56" s="12" t="s">
        <v>236</v>
      </c>
      <c r="J56" s="12" t="s">
        <v>6</v>
      </c>
      <c r="K56" s="12" t="s">
        <v>47</v>
      </c>
      <c r="L56" s="12" t="s">
        <v>13</v>
      </c>
      <c r="M56" s="19" t="s">
        <v>238</v>
      </c>
      <c r="N56" s="12" t="s">
        <v>239</v>
      </c>
      <c r="O56" s="12" t="s">
        <v>372</v>
      </c>
      <c r="P56" s="12" t="s">
        <v>277</v>
      </c>
    </row>
    <row r="57" spans="1:16" x14ac:dyDescent="0.25">
      <c r="A57" s="12" t="s">
        <v>373</v>
      </c>
      <c r="B57" s="12" t="s">
        <v>85</v>
      </c>
      <c r="C57" s="12" t="s">
        <v>4</v>
      </c>
      <c r="D57" s="12" t="s">
        <v>282</v>
      </c>
      <c r="E57" s="18" t="s">
        <v>233</v>
      </c>
      <c r="F57" s="12" t="s">
        <v>234</v>
      </c>
      <c r="G57" s="12" t="s">
        <v>367</v>
      </c>
      <c r="H57" s="12" t="s">
        <v>246</v>
      </c>
      <c r="I57" s="12" t="s">
        <v>236</v>
      </c>
      <c r="J57" s="12" t="s">
        <v>6</v>
      </c>
      <c r="K57" s="12" t="s">
        <v>47</v>
      </c>
      <c r="L57" s="12" t="s">
        <v>13</v>
      </c>
      <c r="M57" s="19" t="s">
        <v>238</v>
      </c>
      <c r="N57" s="12" t="s">
        <v>239</v>
      </c>
      <c r="O57" s="12" t="s">
        <v>374</v>
      </c>
      <c r="P57" s="12" t="s">
        <v>277</v>
      </c>
    </row>
    <row r="58" spans="1:16" x14ac:dyDescent="0.25">
      <c r="A58" s="12" t="s">
        <v>375</v>
      </c>
      <c r="B58" s="12" t="s">
        <v>90</v>
      </c>
      <c r="C58" s="12" t="s">
        <v>4</v>
      </c>
      <c r="D58" s="12" t="s">
        <v>282</v>
      </c>
      <c r="E58" s="18" t="s">
        <v>233</v>
      </c>
      <c r="F58" s="12" t="s">
        <v>234</v>
      </c>
      <c r="G58" s="12" t="s">
        <v>367</v>
      </c>
      <c r="H58" s="12" t="s">
        <v>246</v>
      </c>
      <c r="I58" s="12" t="s">
        <v>236</v>
      </c>
      <c r="J58" s="12" t="s">
        <v>6</v>
      </c>
      <c r="K58" s="12" t="s">
        <v>47</v>
      </c>
      <c r="L58" s="12" t="s">
        <v>13</v>
      </c>
      <c r="M58" s="19" t="s">
        <v>238</v>
      </c>
      <c r="N58" s="12" t="s">
        <v>239</v>
      </c>
      <c r="O58" s="12" t="s">
        <v>376</v>
      </c>
      <c r="P58" s="12" t="s">
        <v>277</v>
      </c>
    </row>
    <row r="59" spans="1:16" x14ac:dyDescent="0.25">
      <c r="A59" s="12" t="s">
        <v>377</v>
      </c>
      <c r="B59" s="12" t="s">
        <v>94</v>
      </c>
      <c r="C59" s="12" t="s">
        <v>4</v>
      </c>
      <c r="D59" s="12" t="s">
        <v>282</v>
      </c>
      <c r="E59" s="18" t="s">
        <v>233</v>
      </c>
      <c r="F59" s="12" t="s">
        <v>234</v>
      </c>
      <c r="G59" s="12" t="s">
        <v>245</v>
      </c>
      <c r="H59" s="12" t="s">
        <v>246</v>
      </c>
      <c r="I59" s="12" t="s">
        <v>236</v>
      </c>
      <c r="J59" s="12" t="s">
        <v>6</v>
      </c>
      <c r="K59" s="12" t="s">
        <v>47</v>
      </c>
      <c r="L59" s="12" t="s">
        <v>13</v>
      </c>
      <c r="M59" s="19" t="s">
        <v>238</v>
      </c>
      <c r="N59" s="12" t="s">
        <v>239</v>
      </c>
      <c r="O59" s="12" t="s">
        <v>378</v>
      </c>
      <c r="P59" s="12" t="s">
        <v>277</v>
      </c>
    </row>
    <row r="60" spans="1:16" x14ac:dyDescent="0.25">
      <c r="A60" s="12" t="s">
        <v>379</v>
      </c>
      <c r="B60" s="12" t="s">
        <v>105</v>
      </c>
      <c r="C60" s="12" t="s">
        <v>4</v>
      </c>
      <c r="D60" s="12" t="s">
        <v>282</v>
      </c>
      <c r="E60" s="18" t="s">
        <v>233</v>
      </c>
      <c r="F60" s="12" t="s">
        <v>234</v>
      </c>
      <c r="G60" s="12" t="s">
        <v>235</v>
      </c>
      <c r="H60" s="12" t="s">
        <v>246</v>
      </c>
      <c r="I60" s="12" t="s">
        <v>236</v>
      </c>
      <c r="J60" s="12" t="s">
        <v>6</v>
      </c>
      <c r="K60" s="12" t="s">
        <v>47</v>
      </c>
      <c r="L60" s="12" t="s">
        <v>13</v>
      </c>
      <c r="M60" s="19" t="s">
        <v>238</v>
      </c>
      <c r="N60" s="12" t="s">
        <v>239</v>
      </c>
      <c r="O60" s="12" t="s">
        <v>380</v>
      </c>
      <c r="P60" s="12" t="s">
        <v>277</v>
      </c>
    </row>
    <row r="61" spans="1:16" x14ac:dyDescent="0.25">
      <c r="A61" s="12" t="s">
        <v>381</v>
      </c>
      <c r="B61" s="12" t="s">
        <v>110</v>
      </c>
      <c r="C61" s="12" t="s">
        <v>4</v>
      </c>
      <c r="D61" s="12" t="s">
        <v>382</v>
      </c>
      <c r="E61" s="18" t="s">
        <v>233</v>
      </c>
      <c r="F61" s="12" t="s">
        <v>234</v>
      </c>
      <c r="G61" s="12" t="s">
        <v>235</v>
      </c>
      <c r="H61" s="12" t="s">
        <v>246</v>
      </c>
      <c r="I61" s="12" t="s">
        <v>236</v>
      </c>
      <c r="J61" s="12" t="s">
        <v>6</v>
      </c>
      <c r="K61" s="12" t="s">
        <v>47</v>
      </c>
      <c r="L61" s="12" t="s">
        <v>13</v>
      </c>
      <c r="M61" s="19" t="s">
        <v>238</v>
      </c>
      <c r="N61" s="12" t="s">
        <v>239</v>
      </c>
      <c r="O61" s="12" t="s">
        <v>383</v>
      </c>
      <c r="P61" s="12" t="s">
        <v>277</v>
      </c>
    </row>
    <row r="62" spans="1:16" x14ac:dyDescent="0.25">
      <c r="A62" s="12" t="s">
        <v>384</v>
      </c>
      <c r="B62" s="12" t="s">
        <v>120</v>
      </c>
      <c r="C62" s="12" t="s">
        <v>4</v>
      </c>
      <c r="D62" s="12" t="s">
        <v>282</v>
      </c>
      <c r="E62" s="18" t="s">
        <v>233</v>
      </c>
      <c r="F62" s="12" t="s">
        <v>234</v>
      </c>
      <c r="G62" s="12" t="s">
        <v>235</v>
      </c>
      <c r="H62" s="12" t="s">
        <v>246</v>
      </c>
      <c r="I62" s="12" t="s">
        <v>236</v>
      </c>
      <c r="J62" s="12" t="s">
        <v>6</v>
      </c>
      <c r="K62" s="12" t="s">
        <v>47</v>
      </c>
      <c r="L62" s="12" t="s">
        <v>13</v>
      </c>
      <c r="M62" s="19" t="s">
        <v>238</v>
      </c>
      <c r="N62" s="12" t="s">
        <v>239</v>
      </c>
      <c r="O62" s="12" t="s">
        <v>385</v>
      </c>
      <c r="P62" s="12" t="s">
        <v>277</v>
      </c>
    </row>
    <row r="63" spans="1:16" x14ac:dyDescent="0.25">
      <c r="A63" s="12" t="s">
        <v>386</v>
      </c>
      <c r="B63" s="12" t="s">
        <v>125</v>
      </c>
      <c r="C63" s="12" t="s">
        <v>4</v>
      </c>
      <c r="D63" s="12" t="s">
        <v>282</v>
      </c>
      <c r="E63" s="18" t="s">
        <v>233</v>
      </c>
      <c r="F63" s="12" t="s">
        <v>234</v>
      </c>
      <c r="G63" s="12" t="s">
        <v>235</v>
      </c>
      <c r="H63" s="12" t="s">
        <v>245</v>
      </c>
      <c r="I63" s="12" t="s">
        <v>236</v>
      </c>
      <c r="J63" s="12" t="s">
        <v>6</v>
      </c>
      <c r="K63" s="12" t="s">
        <v>47</v>
      </c>
      <c r="L63" s="12" t="s">
        <v>13</v>
      </c>
      <c r="M63" s="19" t="s">
        <v>238</v>
      </c>
      <c r="N63" s="12" t="s">
        <v>239</v>
      </c>
      <c r="O63" s="12" t="s">
        <v>387</v>
      </c>
      <c r="P63" s="12" t="s">
        <v>277</v>
      </c>
    </row>
    <row r="64" spans="1:16" x14ac:dyDescent="0.25">
      <c r="A64" s="12" t="s">
        <v>388</v>
      </c>
      <c r="B64" s="12" t="s">
        <v>126</v>
      </c>
      <c r="C64" s="12" t="s">
        <v>4</v>
      </c>
      <c r="D64" s="12" t="s">
        <v>279</v>
      </c>
      <c r="E64" s="18" t="s">
        <v>233</v>
      </c>
      <c r="F64" s="12" t="s">
        <v>234</v>
      </c>
      <c r="G64" s="12" t="s">
        <v>235</v>
      </c>
      <c r="H64" s="12" t="s">
        <v>246</v>
      </c>
      <c r="I64" s="12" t="s">
        <v>236</v>
      </c>
      <c r="J64" s="12" t="s">
        <v>6</v>
      </c>
      <c r="K64" s="12" t="s">
        <v>47</v>
      </c>
      <c r="L64" s="12" t="s">
        <v>13</v>
      </c>
      <c r="M64" s="19" t="s">
        <v>238</v>
      </c>
      <c r="N64" s="12" t="s">
        <v>239</v>
      </c>
      <c r="O64" s="12" t="s">
        <v>389</v>
      </c>
      <c r="P64" s="12" t="s">
        <v>277</v>
      </c>
    </row>
    <row r="65" spans="1:16" x14ac:dyDescent="0.25">
      <c r="A65" s="12" t="s">
        <v>390</v>
      </c>
      <c r="B65" s="12" t="s">
        <v>131</v>
      </c>
      <c r="C65" s="12" t="s">
        <v>4</v>
      </c>
      <c r="D65" s="12" t="s">
        <v>315</v>
      </c>
      <c r="E65" s="18" t="s">
        <v>233</v>
      </c>
      <c r="F65" s="12" t="s">
        <v>234</v>
      </c>
      <c r="G65" s="12" t="s">
        <v>235</v>
      </c>
      <c r="H65" s="12" t="s">
        <v>235</v>
      </c>
      <c r="I65" s="12" t="s">
        <v>236</v>
      </c>
      <c r="J65" s="12" t="s">
        <v>6</v>
      </c>
      <c r="K65" s="12" t="s">
        <v>47</v>
      </c>
      <c r="L65" s="12" t="s">
        <v>13</v>
      </c>
      <c r="M65" s="19" t="s">
        <v>238</v>
      </c>
      <c r="N65" s="12" t="s">
        <v>239</v>
      </c>
      <c r="O65" s="12" t="s">
        <v>391</v>
      </c>
      <c r="P65" s="12" t="s">
        <v>277</v>
      </c>
    </row>
    <row r="66" spans="1:16" x14ac:dyDescent="0.25">
      <c r="A66" s="12" t="s">
        <v>392</v>
      </c>
      <c r="B66" s="12" t="s">
        <v>134</v>
      </c>
      <c r="C66" s="12" t="s">
        <v>4</v>
      </c>
      <c r="D66" s="12" t="s">
        <v>282</v>
      </c>
      <c r="E66" s="18" t="s">
        <v>233</v>
      </c>
      <c r="F66" s="12" t="s">
        <v>234</v>
      </c>
      <c r="G66" s="12" t="s">
        <v>235</v>
      </c>
      <c r="H66" s="12" t="s">
        <v>235</v>
      </c>
      <c r="I66" s="12" t="s">
        <v>236</v>
      </c>
      <c r="J66" s="12" t="s">
        <v>6</v>
      </c>
      <c r="K66" s="12" t="s">
        <v>47</v>
      </c>
      <c r="L66" s="12" t="s">
        <v>13</v>
      </c>
      <c r="M66" s="19" t="s">
        <v>238</v>
      </c>
      <c r="N66" s="12" t="s">
        <v>239</v>
      </c>
      <c r="O66" s="12" t="s">
        <v>393</v>
      </c>
      <c r="P66" s="12" t="s">
        <v>277</v>
      </c>
    </row>
    <row r="67" spans="1:16" x14ac:dyDescent="0.25">
      <c r="A67" s="12" t="s">
        <v>394</v>
      </c>
      <c r="B67" s="12" t="s">
        <v>135</v>
      </c>
      <c r="C67" s="12" t="s">
        <v>4</v>
      </c>
      <c r="D67" s="12" t="s">
        <v>282</v>
      </c>
      <c r="E67" s="18" t="s">
        <v>233</v>
      </c>
      <c r="F67" s="12" t="s">
        <v>234</v>
      </c>
      <c r="G67" s="12" t="s">
        <v>235</v>
      </c>
      <c r="H67" s="12" t="s">
        <v>235</v>
      </c>
      <c r="I67" s="12" t="s">
        <v>236</v>
      </c>
      <c r="J67" s="12" t="s">
        <v>6</v>
      </c>
      <c r="K67" s="12" t="s">
        <v>47</v>
      </c>
      <c r="L67" s="12" t="s">
        <v>13</v>
      </c>
      <c r="M67" s="19" t="s">
        <v>238</v>
      </c>
      <c r="N67" s="12" t="s">
        <v>239</v>
      </c>
      <c r="O67" s="12" t="s">
        <v>395</v>
      </c>
      <c r="P67" s="12" t="s">
        <v>277</v>
      </c>
    </row>
    <row r="68" spans="1:16" x14ac:dyDescent="0.25">
      <c r="A68" s="12" t="s">
        <v>396</v>
      </c>
      <c r="B68" s="12" t="s">
        <v>142</v>
      </c>
      <c r="C68" s="12" t="s">
        <v>4</v>
      </c>
      <c r="D68" s="12" t="s">
        <v>382</v>
      </c>
      <c r="E68" s="18" t="s">
        <v>233</v>
      </c>
      <c r="F68" s="12" t="s">
        <v>234</v>
      </c>
      <c r="G68" s="12" t="s">
        <v>235</v>
      </c>
      <c r="H68" s="12" t="s">
        <v>245</v>
      </c>
      <c r="I68" s="12" t="s">
        <v>236</v>
      </c>
      <c r="J68" s="12" t="s">
        <v>6</v>
      </c>
      <c r="K68" s="12" t="s">
        <v>47</v>
      </c>
      <c r="L68" s="12" t="s">
        <v>13</v>
      </c>
      <c r="M68" s="19" t="s">
        <v>238</v>
      </c>
      <c r="N68" s="12" t="s">
        <v>239</v>
      </c>
      <c r="O68" s="12" t="s">
        <v>397</v>
      </c>
      <c r="P68" s="12" t="s">
        <v>277</v>
      </c>
    </row>
    <row r="69" spans="1:16" x14ac:dyDescent="0.25">
      <c r="A69" s="12" t="s">
        <v>398</v>
      </c>
      <c r="B69" s="12" t="s">
        <v>153</v>
      </c>
      <c r="C69" s="12" t="s">
        <v>4</v>
      </c>
      <c r="D69" s="12" t="s">
        <v>290</v>
      </c>
      <c r="E69" s="18" t="s">
        <v>233</v>
      </c>
      <c r="F69" s="12" t="s">
        <v>234</v>
      </c>
      <c r="G69" s="12" t="s">
        <v>235</v>
      </c>
      <c r="H69" s="12" t="s">
        <v>246</v>
      </c>
      <c r="I69" s="12" t="s">
        <v>236</v>
      </c>
      <c r="J69" s="12" t="s">
        <v>6</v>
      </c>
      <c r="K69" s="12" t="s">
        <v>47</v>
      </c>
      <c r="L69" s="12" t="s">
        <v>13</v>
      </c>
      <c r="M69" s="19" t="s">
        <v>238</v>
      </c>
      <c r="N69" s="12" t="s">
        <v>239</v>
      </c>
      <c r="O69" s="12" t="s">
        <v>399</v>
      </c>
      <c r="P69" s="12" t="s">
        <v>277</v>
      </c>
    </row>
    <row r="70" spans="1:16" x14ac:dyDescent="0.25">
      <c r="A70" s="12" t="s">
        <v>400</v>
      </c>
      <c r="B70" s="12" t="s">
        <v>156</v>
      </c>
      <c r="C70" s="12" t="s">
        <v>4</v>
      </c>
      <c r="D70" s="12" t="s">
        <v>290</v>
      </c>
      <c r="E70" s="18" t="s">
        <v>233</v>
      </c>
      <c r="F70" s="12" t="s">
        <v>234</v>
      </c>
      <c r="G70" s="12" t="s">
        <v>235</v>
      </c>
      <c r="H70" s="12" t="s">
        <v>246</v>
      </c>
      <c r="I70" s="12" t="s">
        <v>236</v>
      </c>
      <c r="J70" s="12" t="s">
        <v>6</v>
      </c>
      <c r="K70" s="12" t="s">
        <v>47</v>
      </c>
      <c r="L70" s="12" t="s">
        <v>13</v>
      </c>
      <c r="M70" s="19" t="s">
        <v>238</v>
      </c>
      <c r="N70" s="12" t="s">
        <v>239</v>
      </c>
      <c r="O70" s="12" t="s">
        <v>401</v>
      </c>
      <c r="P70" s="12" t="s">
        <v>277</v>
      </c>
    </row>
    <row r="71" spans="1:16" x14ac:dyDescent="0.25">
      <c r="A71" s="12" t="s">
        <v>402</v>
      </c>
      <c r="B71" s="12" t="s">
        <v>164</v>
      </c>
      <c r="C71" s="12" t="s">
        <v>4</v>
      </c>
      <c r="D71" s="12" t="s">
        <v>275</v>
      </c>
      <c r="E71" s="18" t="s">
        <v>233</v>
      </c>
      <c r="F71" s="12" t="s">
        <v>234</v>
      </c>
      <c r="G71" s="12" t="s">
        <v>235</v>
      </c>
      <c r="H71" s="12" t="s">
        <v>246</v>
      </c>
      <c r="I71" s="12" t="s">
        <v>236</v>
      </c>
      <c r="J71" s="12" t="s">
        <v>6</v>
      </c>
      <c r="K71" s="12" t="s">
        <v>47</v>
      </c>
      <c r="L71" s="12" t="s">
        <v>13</v>
      </c>
      <c r="M71" s="19" t="s">
        <v>238</v>
      </c>
      <c r="N71" s="12" t="s">
        <v>239</v>
      </c>
      <c r="O71" s="12" t="s">
        <v>403</v>
      </c>
      <c r="P71" s="12" t="s">
        <v>277</v>
      </c>
    </row>
    <row r="72" spans="1:16" x14ac:dyDescent="0.25">
      <c r="A72" s="12" t="s">
        <v>404</v>
      </c>
      <c r="B72" s="12" t="s">
        <v>170</v>
      </c>
      <c r="C72" s="12" t="s">
        <v>4</v>
      </c>
      <c r="D72" s="12" t="s">
        <v>275</v>
      </c>
      <c r="E72" s="18" t="s">
        <v>233</v>
      </c>
      <c r="F72" s="12" t="s">
        <v>234</v>
      </c>
      <c r="G72" s="12" t="s">
        <v>235</v>
      </c>
      <c r="H72" s="12" t="s">
        <v>246</v>
      </c>
      <c r="I72" s="12" t="s">
        <v>236</v>
      </c>
      <c r="J72" s="12" t="s">
        <v>6</v>
      </c>
      <c r="K72" s="12" t="s">
        <v>47</v>
      </c>
      <c r="L72" s="12" t="s">
        <v>13</v>
      </c>
      <c r="M72" s="19" t="s">
        <v>238</v>
      </c>
      <c r="N72" s="12" t="s">
        <v>239</v>
      </c>
      <c r="O72" s="12" t="s">
        <v>405</v>
      </c>
      <c r="P72" s="12" t="s">
        <v>277</v>
      </c>
    </row>
    <row r="73" spans="1:16" x14ac:dyDescent="0.25">
      <c r="A73" s="12" t="s">
        <v>406</v>
      </c>
      <c r="B73" s="12" t="s">
        <v>180</v>
      </c>
      <c r="C73" s="12" t="s">
        <v>4</v>
      </c>
      <c r="D73" s="12" t="s">
        <v>275</v>
      </c>
      <c r="E73" s="18" t="s">
        <v>233</v>
      </c>
      <c r="F73" s="12" t="s">
        <v>234</v>
      </c>
      <c r="G73" s="12" t="s">
        <v>235</v>
      </c>
      <c r="H73" s="12" t="s">
        <v>246</v>
      </c>
      <c r="I73" s="12" t="s">
        <v>236</v>
      </c>
      <c r="J73" s="12" t="s">
        <v>6</v>
      </c>
      <c r="K73" s="12" t="s">
        <v>47</v>
      </c>
      <c r="L73" s="12" t="s">
        <v>13</v>
      </c>
      <c r="M73" s="19" t="s">
        <v>238</v>
      </c>
      <c r="N73" s="12" t="s">
        <v>239</v>
      </c>
      <c r="O73" s="12" t="s">
        <v>407</v>
      </c>
      <c r="P73" s="12" t="s">
        <v>277</v>
      </c>
    </row>
    <row r="74" spans="1:16" x14ac:dyDescent="0.25">
      <c r="A74" s="12" t="s">
        <v>408</v>
      </c>
      <c r="B74" s="12" t="s">
        <v>181</v>
      </c>
      <c r="C74" s="12" t="s">
        <v>4</v>
      </c>
      <c r="D74" s="12" t="s">
        <v>275</v>
      </c>
      <c r="E74" s="18" t="s">
        <v>233</v>
      </c>
      <c r="F74" s="12" t="s">
        <v>234</v>
      </c>
      <c r="G74" s="12" t="s">
        <v>235</v>
      </c>
      <c r="H74" s="12" t="s">
        <v>246</v>
      </c>
      <c r="I74" s="12" t="s">
        <v>236</v>
      </c>
      <c r="J74" s="12" t="s">
        <v>6</v>
      </c>
      <c r="K74" s="12" t="s">
        <v>47</v>
      </c>
      <c r="L74" s="12" t="s">
        <v>13</v>
      </c>
      <c r="M74" s="19" t="s">
        <v>238</v>
      </c>
      <c r="N74" s="12" t="s">
        <v>239</v>
      </c>
      <c r="O74" s="12" t="s">
        <v>409</v>
      </c>
      <c r="P74" s="12" t="s">
        <v>277</v>
      </c>
    </row>
    <row r="75" spans="1:16" x14ac:dyDescent="0.25">
      <c r="A75" s="12" t="s">
        <v>410</v>
      </c>
      <c r="B75" s="12" t="s">
        <v>203</v>
      </c>
      <c r="C75" s="12" t="s">
        <v>4</v>
      </c>
      <c r="D75" s="12" t="s">
        <v>282</v>
      </c>
      <c r="E75" s="18" t="s">
        <v>233</v>
      </c>
      <c r="F75" s="12" t="s">
        <v>234</v>
      </c>
      <c r="G75" s="12" t="s">
        <v>235</v>
      </c>
      <c r="H75" s="12" t="s">
        <v>246</v>
      </c>
      <c r="I75" s="12" t="s">
        <v>236</v>
      </c>
      <c r="J75" s="12" t="s">
        <v>6</v>
      </c>
      <c r="K75" s="12" t="s">
        <v>47</v>
      </c>
      <c r="L75" s="12" t="s">
        <v>13</v>
      </c>
      <c r="M75" s="19" t="s">
        <v>238</v>
      </c>
      <c r="N75" s="12" t="s">
        <v>239</v>
      </c>
      <c r="O75" s="12" t="s">
        <v>411</v>
      </c>
      <c r="P75" s="12" t="s">
        <v>277</v>
      </c>
    </row>
    <row r="76" spans="1:16" x14ac:dyDescent="0.25">
      <c r="A76" s="12" t="s">
        <v>412</v>
      </c>
      <c r="B76" s="12" t="s">
        <v>205</v>
      </c>
      <c r="C76" s="12" t="s">
        <v>4</v>
      </c>
      <c r="D76" s="12" t="s">
        <v>382</v>
      </c>
      <c r="E76" s="18" t="s">
        <v>233</v>
      </c>
      <c r="F76" s="12" t="s">
        <v>234</v>
      </c>
      <c r="G76" s="12" t="s">
        <v>235</v>
      </c>
      <c r="H76" s="12" t="s">
        <v>246</v>
      </c>
      <c r="I76" s="12" t="s">
        <v>236</v>
      </c>
      <c r="J76" s="12" t="s">
        <v>6</v>
      </c>
      <c r="K76" s="12" t="s">
        <v>47</v>
      </c>
      <c r="L76" s="12" t="s">
        <v>13</v>
      </c>
      <c r="M76" s="19" t="s">
        <v>238</v>
      </c>
      <c r="N76" s="12" t="s">
        <v>239</v>
      </c>
      <c r="O76" s="12" t="s">
        <v>413</v>
      </c>
      <c r="P76" s="12" t="s">
        <v>277</v>
      </c>
    </row>
    <row r="77" spans="1:16" x14ac:dyDescent="0.25">
      <c r="A77" s="12" t="s">
        <v>414</v>
      </c>
      <c r="B77" s="12" t="s">
        <v>207</v>
      </c>
      <c r="C77" s="12" t="s">
        <v>4</v>
      </c>
      <c r="D77" s="12" t="s">
        <v>382</v>
      </c>
      <c r="E77" s="18" t="s">
        <v>233</v>
      </c>
      <c r="F77" s="12" t="s">
        <v>234</v>
      </c>
      <c r="G77" s="12" t="s">
        <v>235</v>
      </c>
      <c r="H77" s="12" t="s">
        <v>246</v>
      </c>
      <c r="I77" s="12" t="s">
        <v>236</v>
      </c>
      <c r="J77" s="12" t="s">
        <v>6</v>
      </c>
      <c r="K77" s="12" t="s">
        <v>47</v>
      </c>
      <c r="L77" s="12" t="s">
        <v>13</v>
      </c>
      <c r="M77" s="19" t="s">
        <v>238</v>
      </c>
      <c r="N77" s="12" t="s">
        <v>239</v>
      </c>
      <c r="O77" s="12" t="s">
        <v>415</v>
      </c>
      <c r="P77" s="12" t="s">
        <v>277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P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4" customWidth="1"/>
    <col min="3" max="3" width="30" customWidth="1"/>
    <col min="4" max="4" width="22" customWidth="1"/>
    <col min="5" max="5" width="10" customWidth="1"/>
    <col min="6" max="6" width="18" customWidth="1"/>
    <col min="7" max="7" width="50" customWidth="1"/>
    <col min="8" max="9" width="10" customWidth="1"/>
    <col min="10" max="10" width="14" customWidth="1"/>
    <col min="11" max="11" width="12" customWidth="1"/>
    <col min="12" max="12" width="14" customWidth="1"/>
    <col min="13" max="13" width="16" customWidth="1"/>
    <col min="14" max="15" width="18" customWidth="1"/>
    <col min="16" max="16" width="28" customWidth="1"/>
  </cols>
  <sheetData>
    <row r="1" ht="26" customHeight="1" spans="1:16" x14ac:dyDescent="0.25">
      <c r="A1" s="11" t="s">
        <v>217</v>
      </c>
      <c r="B1" s="11" t="s">
        <v>39</v>
      </c>
      <c r="C1" s="11" t="s">
        <v>3</v>
      </c>
      <c r="D1" s="11" t="s">
        <v>218</v>
      </c>
      <c r="E1" s="11" t="s">
        <v>219</v>
      </c>
      <c r="F1" s="11" t="s">
        <v>220</v>
      </c>
      <c r="G1" s="11" t="s">
        <v>227</v>
      </c>
      <c r="H1" s="11" t="s">
        <v>221</v>
      </c>
      <c r="I1" s="11" t="s">
        <v>222</v>
      </c>
      <c r="J1" s="11" t="s">
        <v>41</v>
      </c>
      <c r="K1" s="11" t="s">
        <v>5</v>
      </c>
      <c r="L1" s="11" t="s">
        <v>416</v>
      </c>
      <c r="M1" s="11" t="s">
        <v>223</v>
      </c>
      <c r="N1" s="11" t="s">
        <v>224</v>
      </c>
      <c r="O1" s="11" t="s">
        <v>225</v>
      </c>
      <c r="P1" s="11" t="s">
        <v>226</v>
      </c>
    </row>
    <row r="2" spans="1:16" x14ac:dyDescent="0.25">
      <c r="A2" s="20" t="s">
        <v>417</v>
      </c>
      <c r="B2" s="20" t="s">
        <v>51</v>
      </c>
      <c r="C2" s="20" t="s">
        <v>4</v>
      </c>
      <c r="D2" s="20" t="s">
        <v>51</v>
      </c>
      <c r="E2" s="20" t="s">
        <v>418</v>
      </c>
      <c r="F2" s="20" t="s">
        <v>419</v>
      </c>
      <c r="G2" s="20" t="s">
        <v>420</v>
      </c>
      <c r="H2" s="20" t="s">
        <v>235</v>
      </c>
      <c r="I2" s="20" t="s">
        <v>235</v>
      </c>
      <c r="J2" s="20" t="s">
        <v>236</v>
      </c>
      <c r="K2" s="20" t="s">
        <v>6</v>
      </c>
      <c r="L2" s="20" t="s">
        <v>51</v>
      </c>
      <c r="M2" s="20" t="s">
        <v>238</v>
      </c>
      <c r="N2" s="20" t="s">
        <v>421</v>
      </c>
      <c r="O2" s="20" t="s">
        <v>47</v>
      </c>
      <c r="P2" s="20" t="s">
        <v>422</v>
      </c>
    </row>
    <row r="3" spans="1:1" x14ac:dyDescent="0.25"/>
  </sheetData>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11"/>
  <sheetFormatPr defaultRowHeight="15" outlineLevelRow="0" outlineLevelCol="0" x14ac:dyDescent="55"/>
  <cols>
    <col min="1" max="1" width="28" customWidth="1"/>
    <col min="2" max="2" width="70" customWidth="1"/>
  </cols>
  <sheetData>
    <row r="1" spans="1:2" x14ac:dyDescent="0.25">
      <c r="A1" s="21" t="s">
        <v>423</v>
      </c>
      <c r="B1" s="21" t="s">
        <v>424</v>
      </c>
    </row>
    <row r="2" spans="1:2" x14ac:dyDescent="0.25">
      <c r="A2" s="12" t="s">
        <v>15</v>
      </c>
      <c r="B2" s="12" t="s">
        <v>425</v>
      </c>
    </row>
    <row r="3" spans="1:2" x14ac:dyDescent="0.25">
      <c r="A3" s="12" t="s">
        <v>426</v>
      </c>
      <c r="B3" s="12" t="s">
        <v>427</v>
      </c>
    </row>
    <row r="4" spans="1:2" x14ac:dyDescent="0.25">
      <c r="A4" s="12" t="s">
        <v>22</v>
      </c>
      <c r="B4" s="12" t="s">
        <v>428</v>
      </c>
    </row>
    <row r="5" spans="1:2" x14ac:dyDescent="0.25">
      <c r="A5" s="12" t="s">
        <v>429</v>
      </c>
      <c r="B5" s="12" t="s">
        <v>430</v>
      </c>
    </row>
    <row r="6" spans="1:2" x14ac:dyDescent="0.25">
      <c r="A6" s="12" t="s">
        <v>431</v>
      </c>
      <c r="B6" s="12" t="s">
        <v>432</v>
      </c>
    </row>
    <row r="7" spans="1:2" x14ac:dyDescent="0.25">
      <c r="A7" s="12" t="s">
        <v>25</v>
      </c>
      <c r="B7" s="12" t="s">
        <v>433</v>
      </c>
    </row>
    <row r="8" spans="1:2" x14ac:dyDescent="0.25">
      <c r="A8" s="12" t="s">
        <v>434</v>
      </c>
      <c r="B8" s="12" t="s">
        <v>435</v>
      </c>
    </row>
    <row r="9" spans="1:2" x14ac:dyDescent="0.25">
      <c r="A9" s="12" t="s">
        <v>436</v>
      </c>
      <c r="B9" s="12" t="s">
        <v>437</v>
      </c>
    </row>
    <row r="10" spans="1:2" x14ac:dyDescent="0.25">
      <c r="A10" s="12" t="s">
        <v>438</v>
      </c>
      <c r="B10" s="12" t="s">
        <v>439</v>
      </c>
    </row>
    <row r="11" spans="1:2" x14ac:dyDescent="0.25">
      <c r="A11" s="12" t="s">
        <v>440</v>
      </c>
      <c r="B11" s="12" t="s">
        <v>441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Automation Runs</vt:lpstr>
      <vt:lpstr>Test Case Results</vt:lpstr>
      <vt:lpstr>Defect Comparison</vt:lpstr>
      <vt:lpstr>Manual Defect Register</vt:lpstr>
      <vt:lpstr>Legend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AML Automation QA Dashboard</dc:creator>
  <dc:title/>
  <dc:subject/>
  <dc:description/>
  <cp:keywords/>
  <cp:category/>
  <cp:lastModifiedBy>Unknown</cp:lastModifiedBy>
  <dcterms:created xsi:type="dcterms:W3CDTF">2026-08-03T08:50:12Z</dcterms:created>
  <dcterms:modified xsi:type="dcterms:W3CDTF">2026-08-03T08:50:12Z</dcterms:modified>
</cp:coreProperties>
</file>